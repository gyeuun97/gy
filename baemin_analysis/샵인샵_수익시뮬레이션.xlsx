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손익_시나리오" sheetId="1" state="visible" r:id="rId1"/>
    <sheet xmlns:r="http://schemas.openxmlformats.org/officeDocument/2006/relationships" name="브랜드별_건당" sheetId="2" state="visible" r:id="rId2"/>
    <sheet xmlns:r="http://schemas.openxmlformats.org/officeDocument/2006/relationships" name="본사마진표_검증" sheetId="3" state="visible" r:id="rId3"/>
    <sheet xmlns:r="http://schemas.openxmlformats.org/officeDocument/2006/relationships" name="가정_고정비_투자" sheetId="4" state="visible" r:id="rId4"/>
    <sheet xmlns:r="http://schemas.openxmlformats.org/officeDocument/2006/relationships" name="목표1.5억_브랜드별" sheetId="5" state="visible" r:id="rId5"/>
    <sheet xmlns:r="http://schemas.openxmlformats.org/officeDocument/2006/relationships" name="단계별_로드맵" sheetId="6" state="visible" r:id="rId6"/>
    <sheet xmlns:r="http://schemas.openxmlformats.org/officeDocument/2006/relationships" name="단계별_인력표" sheetId="7" state="visible" r:id="rId7"/>
    <sheet xmlns:r="http://schemas.openxmlformats.org/officeDocument/2006/relationships" name="단계별_고정비" sheetId="8" state="visible" r:id="rId8"/>
    <sheet xmlns:r="http://schemas.openxmlformats.org/officeDocument/2006/relationships" name="시간대별_처리량" sheetId="9" state="visible" r:id="rId9"/>
    <sheet xmlns:r="http://schemas.openxmlformats.org/officeDocument/2006/relationships" name="21시간_심야손익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&quot;원&quot;"/>
    <numFmt numFmtId="165" formatCode="#,##0&quot;시간&quot;"/>
    <numFmt numFmtId="166" formatCode="0.0&quot;%&quot;"/>
    <numFmt numFmtId="167" formatCode="0&quot;시간&quot;"/>
    <numFmt numFmtId="168" formatCode="0&quot;건/일&quot;"/>
    <numFmt numFmtId="169" formatCode="#,##0&quot;건&quot;"/>
    <numFmt numFmtId="170" formatCode="0.0&quot;건&quot;"/>
    <numFmt numFmtId="171" formatCode="0&quot;명&quot;"/>
    <numFmt numFmtId="172" formatCode="0&quot;건&quot;"/>
  </numFmts>
  <fonts count="8">
    <font>
      <name val="Calibri"/>
      <family val="2"/>
      <color theme="1"/>
      <sz val="11"/>
      <scheme val="minor"/>
    </font>
    <font>
      <b val="1"/>
      <color rgb="00FFFFFF"/>
    </font>
    <font/>
    <font>
      <b val="1"/>
    </font>
    <font>
      <b val="1"/>
      <color rgb="00C0392B"/>
    </font>
    <font>
      <b val="1"/>
      <color rgb="000F8F8A"/>
    </font>
    <font>
      <b val="1"/>
      <sz val="13"/>
    </font>
    <font>
      <b val="1"/>
      <color rgb="00B7791F"/>
    </font>
  </fonts>
  <fills count="4">
    <fill>
      <patternFill/>
    </fill>
    <fill>
      <patternFill patternType="gray125"/>
    </fill>
    <fill>
      <patternFill patternType="solid">
        <fgColor rgb="002AC1BC"/>
      </patternFill>
    </fill>
    <fill>
      <patternFill patternType="solid">
        <fgColor rgb="00E8F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6" fillId="0" borderId="0" pivotButton="0" quotePrefix="0" xfId="0"/>
    <xf numFmtId="0" fontId="3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169" fontId="0" fillId="0" borderId="0" pivotButton="0" quotePrefix="0" xfId="0"/>
    <xf numFmtId="170" fontId="0" fillId="0" borderId="0" pivotButton="0" quotePrefix="0" xfId="0"/>
    <xf numFmtId="164" fontId="3" fillId="3" borderId="0" pivotButton="0" quotePrefix="0" xfId="0"/>
    <xf numFmtId="169" fontId="3" fillId="3" borderId="0" pivotButton="0" quotePrefix="0" xfId="0"/>
    <xf numFmtId="170" fontId="3" fillId="3" borderId="0" pivotButton="0" quotePrefix="0" xfId="0"/>
    <xf numFmtId="164" fontId="3" fillId="0" borderId="0" pivotButton="0" quotePrefix="0" xfId="0"/>
    <xf numFmtId="170" fontId="3" fillId="0" borderId="0" pivotButton="0" quotePrefix="0" xfId="0"/>
    <xf numFmtId="166" fontId="3" fillId="0" borderId="0" pivotButton="0" quotePrefix="0" xfId="0"/>
    <xf numFmtId="171" fontId="0" fillId="0" borderId="0" pivotButton="0" quotePrefix="0" xfId="0"/>
    <xf numFmtId="171" fontId="3" fillId="0" borderId="0" pivotButton="0" quotePrefix="0" xfId="0"/>
    <xf numFmtId="167" fontId="3" fillId="0" borderId="0" pivotButton="0" quotePrefix="0" xfId="0"/>
    <xf numFmtId="165" fontId="3" fillId="0" borderId="0" pivotButton="0" quotePrefix="0" xfId="0"/>
    <xf numFmtId="172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1단계 오픈~3개월 시간대별 주문 vs 처리 가능량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'시간대별_처리량'!B4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'시간대별_처리량'!$A$5:$A$25</f>
            </numRef>
          </cat>
          <val>
            <numRef>
              <f>'시간대별_처리량'!$B$5:$B$25</f>
            </numRef>
          </val>
        </ser>
        <ser>
          <idx val="1"/>
          <order val="1"/>
          <tx>
            <strRef>
              <f>'시간대별_처리량'!C4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'시간대별_처리량'!$A$5:$A$25</f>
            </numRef>
          </cat>
          <val>
            <numRef>
              <f>'시간대별_처리량'!$C$5:$C$25</f>
            </numRef>
          </val>
        </ser>
        <ser>
          <idx val="2"/>
          <order val="2"/>
          <tx>
            <strRef>
              <f>'시간대별_처리량'!D4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'시간대별_처리량'!$A$5:$A$25</f>
            </numRef>
          </cat>
          <val>
            <numRef>
              <f>'시간대별_처리량'!$D$5:$D$25</f>
            </numRef>
          </val>
        </ser>
        <ser>
          <idx val="3"/>
          <order val="3"/>
          <tx>
            <strRef>
              <f>'시간대별_처리량'!E4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'시간대별_처리량'!$A$5:$A$25</f>
            </numRef>
          </cat>
          <val>
            <numRef>
              <f>'시간대별_처리량'!$E$5:$E$25</f>
            </numRef>
          </val>
        </ser>
        <gapWidth val="150"/>
        <overlap val="100"/>
        <axId val="10"/>
        <axId val="100"/>
      </barChart>
      <lineChart>
        <grouping val="standard"/>
        <ser>
          <idx val="4"/>
          <order val="4"/>
          <tx>
            <strRef>
              <f>'시간대별_처리량'!I4</f>
            </strRef>
          </tx>
          <spPr>
            <a:ln xmlns:a="http://schemas.openxmlformats.org/drawingml/2006/main" w="28575">
              <a:solidFill>
                <a:srgbClr val="0B0B0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'시간대별_처리량'!$I$5:$I$25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건/시간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2단계 6개월 시간대별 주문 vs 처리 가능량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'시간대별_처리량'!B29</f>
            </strRef>
          </tx>
          <spPr>
            <a:ln xmlns:a="http://schemas.openxmlformats.org/drawingml/2006/main">
              <a:prstDash val="solid"/>
            </a:ln>
          </spPr>
          <cat>
            <numRef>
              <f>'시간대별_처리량'!$A$30:$A$50</f>
            </numRef>
          </cat>
          <val>
            <numRef>
              <f>'시간대별_처리량'!$B$30:$B$50</f>
            </numRef>
          </val>
        </ser>
        <ser>
          <idx val="1"/>
          <order val="1"/>
          <tx>
            <strRef>
              <f>'시간대별_처리량'!C29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'시간대별_처리량'!$A$30:$A$50</f>
            </numRef>
          </cat>
          <val>
            <numRef>
              <f>'시간대별_처리량'!$C$30:$C$50</f>
            </numRef>
          </val>
        </ser>
        <ser>
          <idx val="2"/>
          <order val="2"/>
          <tx>
            <strRef>
              <f>'시간대별_처리량'!D29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'시간대별_처리량'!$A$30:$A$50</f>
            </numRef>
          </cat>
          <val>
            <numRef>
              <f>'시간대별_처리량'!$D$30:$D$50</f>
            </numRef>
          </val>
        </ser>
        <ser>
          <idx val="3"/>
          <order val="3"/>
          <tx>
            <strRef>
              <f>'시간대별_처리량'!E29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'시간대별_처리량'!$A$30:$A$50</f>
            </numRef>
          </cat>
          <val>
            <numRef>
              <f>'시간대별_처리량'!$E$30:$E$50</f>
            </numRef>
          </val>
        </ser>
        <gapWidth val="150"/>
        <overlap val="100"/>
        <axId val="10"/>
        <axId val="100"/>
      </barChart>
      <lineChart>
        <grouping val="standard"/>
        <ser>
          <idx val="4"/>
          <order val="4"/>
          <tx>
            <strRef>
              <f>'시간대별_처리량'!I29</f>
            </strRef>
          </tx>
          <spPr>
            <a:ln xmlns:a="http://schemas.openxmlformats.org/drawingml/2006/main" w="28575">
              <a:solidFill>
                <a:srgbClr val="0B0B0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'시간대별_처리량'!$I$30:$I$50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건/시간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3단계 12개월 시간대별 주문 vs 처리 가능량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'시간대별_처리량'!B54</f>
            </strRef>
          </tx>
          <spPr>
            <a:ln xmlns:a="http://schemas.openxmlformats.org/drawingml/2006/main">
              <a:prstDash val="solid"/>
            </a:ln>
          </spPr>
          <cat>
            <numRef>
              <f>'시간대별_처리량'!$A$55:$A$75</f>
            </numRef>
          </cat>
          <val>
            <numRef>
              <f>'시간대별_처리량'!$B$55:$B$75</f>
            </numRef>
          </val>
        </ser>
        <ser>
          <idx val="1"/>
          <order val="1"/>
          <tx>
            <strRef>
              <f>'시간대별_처리량'!C54</f>
            </strRef>
          </tx>
          <spPr>
            <a:ln xmlns:a="http://schemas.openxmlformats.org/drawingml/2006/main">
              <a:prstDash val="solid"/>
            </a:ln>
          </spPr>
          <cat>
            <numRef>
              <f>'시간대별_처리량'!$A$55:$A$75</f>
            </numRef>
          </cat>
          <val>
            <numRef>
              <f>'시간대별_처리량'!$C$55:$C$75</f>
            </numRef>
          </val>
        </ser>
        <ser>
          <idx val="2"/>
          <order val="2"/>
          <tx>
            <strRef>
              <f>'시간대별_처리량'!D54</f>
            </strRef>
          </tx>
          <spPr>
            <a:ln xmlns:a="http://schemas.openxmlformats.org/drawingml/2006/main">
              <a:prstDash val="solid"/>
            </a:ln>
          </spPr>
          <cat>
            <numRef>
              <f>'시간대별_처리량'!$A$55:$A$75</f>
            </numRef>
          </cat>
          <val>
            <numRef>
              <f>'시간대별_처리량'!$D$55:$D$75</f>
            </numRef>
          </val>
        </ser>
        <ser>
          <idx val="3"/>
          <order val="3"/>
          <tx>
            <strRef>
              <f>'시간대별_처리량'!E54</f>
            </strRef>
          </tx>
          <spPr>
            <a:ln xmlns:a="http://schemas.openxmlformats.org/drawingml/2006/main">
              <a:prstDash val="solid"/>
            </a:ln>
          </spPr>
          <cat>
            <numRef>
              <f>'시간대별_처리량'!$A$55:$A$75</f>
            </numRef>
          </cat>
          <val>
            <numRef>
              <f>'시간대별_처리량'!$E$55:$E$75</f>
            </numRef>
          </val>
        </ser>
        <gapWidth val="150"/>
        <overlap val="100"/>
        <axId val="10"/>
        <axId val="100"/>
      </barChart>
      <lineChart>
        <grouping val="standard"/>
        <ser>
          <idx val="4"/>
          <order val="4"/>
          <tx>
            <strRef>
              <f>'시간대별_처리량'!I54</f>
            </strRef>
          </tx>
          <spPr>
            <a:ln xmlns:a="http://schemas.openxmlformats.org/drawingml/2006/main" w="28575">
              <a:solidFill>
                <a:srgbClr val="0B0B0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'시간대별_처리량'!$I$55:$I$75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건/시간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4단계 18개월~ (목표) 시간대별 주문 vs 처리 가능량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'시간대별_처리량'!B79</f>
            </strRef>
          </tx>
          <spPr>
            <a:ln xmlns:a="http://schemas.openxmlformats.org/drawingml/2006/main">
              <a:prstDash val="solid"/>
            </a:ln>
          </spPr>
          <cat>
            <numRef>
              <f>'시간대별_처리량'!$A$80:$A$100</f>
            </numRef>
          </cat>
          <val>
            <numRef>
              <f>'시간대별_처리량'!$B$80:$B$100</f>
            </numRef>
          </val>
        </ser>
        <ser>
          <idx val="1"/>
          <order val="1"/>
          <tx>
            <strRef>
              <f>'시간대별_처리량'!C79</f>
            </strRef>
          </tx>
          <spPr>
            <a:ln xmlns:a="http://schemas.openxmlformats.org/drawingml/2006/main">
              <a:prstDash val="solid"/>
            </a:ln>
          </spPr>
          <cat>
            <numRef>
              <f>'시간대별_처리량'!$A$80:$A$100</f>
            </numRef>
          </cat>
          <val>
            <numRef>
              <f>'시간대별_처리량'!$C$80:$C$100</f>
            </numRef>
          </val>
        </ser>
        <ser>
          <idx val="2"/>
          <order val="2"/>
          <tx>
            <strRef>
              <f>'시간대별_처리량'!D79</f>
            </strRef>
          </tx>
          <spPr>
            <a:ln xmlns:a="http://schemas.openxmlformats.org/drawingml/2006/main">
              <a:prstDash val="solid"/>
            </a:ln>
          </spPr>
          <cat>
            <numRef>
              <f>'시간대별_처리량'!$A$80:$A$100</f>
            </numRef>
          </cat>
          <val>
            <numRef>
              <f>'시간대별_처리량'!$D$80:$D$100</f>
            </numRef>
          </val>
        </ser>
        <ser>
          <idx val="3"/>
          <order val="3"/>
          <tx>
            <strRef>
              <f>'시간대별_처리량'!E79</f>
            </strRef>
          </tx>
          <spPr>
            <a:ln xmlns:a="http://schemas.openxmlformats.org/drawingml/2006/main">
              <a:prstDash val="solid"/>
            </a:ln>
          </spPr>
          <cat>
            <numRef>
              <f>'시간대별_처리량'!$A$80:$A$100</f>
            </numRef>
          </cat>
          <val>
            <numRef>
              <f>'시간대별_처리량'!$E$80:$E$100</f>
            </numRef>
          </val>
        </ser>
        <gapWidth val="150"/>
        <overlap val="100"/>
        <axId val="10"/>
        <axId val="100"/>
      </barChart>
      <lineChart>
        <grouping val="standard"/>
        <ser>
          <idx val="4"/>
          <order val="4"/>
          <tx>
            <strRef>
              <f>'시간대별_처리량'!I79</f>
            </strRef>
          </tx>
          <spPr>
            <a:ln xmlns:a="http://schemas.openxmlformats.org/drawingml/2006/main" w="28575">
              <a:solidFill>
                <a:srgbClr val="0B0B0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'시간대별_처리량'!$I$80:$I$100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건/시간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12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27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52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77</row>
      <rowOff>0</rowOff>
    </from>
    <ext cx="648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항목</t>
        </is>
      </c>
      <c r="B1" s="1" t="inlineStr">
        <is>
          <t>비관 (30건/일)</t>
        </is>
      </c>
      <c r="C1" s="1" t="inlineStr">
        <is>
          <t>보수 (45건/일)</t>
        </is>
      </c>
      <c r="D1" s="1" t="inlineStr">
        <is>
          <t>기본 (60건/일)</t>
        </is>
      </c>
      <c r="E1" s="1" t="inlineStr">
        <is>
          <t>낙관 (80건/일)</t>
        </is>
      </c>
    </row>
    <row r="2">
      <c r="A2" s="2" t="inlineStr">
        <is>
          <t>월 매출 (할인 후)</t>
        </is>
      </c>
      <c r="B2" s="3" t="n">
        <v>18484542</v>
      </c>
      <c r="C2" s="3" t="n">
        <v>27726813</v>
      </c>
      <c r="D2" s="3" t="n">
        <v>36969084</v>
      </c>
      <c r="E2" s="3" t="n">
        <v>49292112</v>
      </c>
    </row>
    <row r="3">
      <c r="A3" s="2" t="inlineStr">
        <is>
          <t>식자재 원가</t>
        </is>
      </c>
      <c r="B3" s="3" t="n">
        <v>6436958</v>
      </c>
      <c r="C3" s="3" t="n">
        <v>9655436</v>
      </c>
      <c r="D3" s="3" t="n">
        <v>12873915</v>
      </c>
      <c r="E3" s="3" t="n">
        <v>17165220</v>
      </c>
    </row>
    <row r="4">
      <c r="A4" s="2" t="inlineStr">
        <is>
          <t>배민 중개·결제수수료</t>
        </is>
      </c>
      <c r="B4" s="3" t="n">
        <v>2051784</v>
      </c>
      <c r="C4" s="3" t="n">
        <v>3077676</v>
      </c>
      <c r="D4" s="3" t="n">
        <v>4103568</v>
      </c>
      <c r="E4" s="3" t="n">
        <v>5471424</v>
      </c>
    </row>
    <row r="5">
      <c r="A5" s="2" t="inlineStr">
        <is>
          <t>배달비 (점주 부담)</t>
        </is>
      </c>
      <c r="B5" s="3" t="n">
        <v>3060000</v>
      </c>
      <c r="C5" s="3" t="n">
        <v>4590000</v>
      </c>
      <c r="D5" s="3" t="n">
        <v>6120000</v>
      </c>
      <c r="E5" s="3" t="n">
        <v>8160000</v>
      </c>
    </row>
    <row r="6">
      <c r="A6" s="2" t="inlineStr">
        <is>
          <t>포장재</t>
        </is>
      </c>
      <c r="B6" s="3" t="n">
        <v>684000</v>
      </c>
      <c r="C6" s="3" t="n">
        <v>1026000</v>
      </c>
      <c r="D6" s="3" t="n">
        <v>1368000</v>
      </c>
      <c r="E6" s="3" t="n">
        <v>1824000</v>
      </c>
    </row>
    <row r="7">
      <c r="A7" s="2" t="inlineStr">
        <is>
          <t>부가세 순부담</t>
        </is>
      </c>
      <c r="B7" s="3" t="n">
        <v>739382</v>
      </c>
      <c r="C7" s="3" t="n">
        <v>1109073</v>
      </c>
      <c r="D7" s="3" t="n">
        <v>1478763</v>
      </c>
      <c r="E7" s="3" t="n">
        <v>1971684</v>
      </c>
    </row>
    <row r="8">
      <c r="A8" s="4" t="inlineStr">
        <is>
          <t>공헌이익 (변동비 차감 후)</t>
        </is>
      </c>
      <c r="B8" s="3" t="n">
        <v>5512419</v>
      </c>
      <c r="C8" s="3" t="n">
        <v>8268628</v>
      </c>
      <c r="D8" s="3" t="n">
        <v>11024837</v>
      </c>
      <c r="E8" s="3" t="n">
        <v>14699783</v>
      </c>
    </row>
    <row r="9">
      <c r="A9" s="2" t="inlineStr">
        <is>
          <t>고정비 합계</t>
        </is>
      </c>
      <c r="B9" s="3" t="n">
        <v>3340000</v>
      </c>
      <c r="C9" s="3" t="n">
        <v>3340000</v>
      </c>
      <c r="D9" s="3" t="n">
        <v>3340000</v>
      </c>
      <c r="E9" s="3" t="n">
        <v>3340000</v>
      </c>
    </row>
    <row r="10">
      <c r="A10" s="2" t="inlineStr">
        <is>
          <t>알바 근무시간 (월)</t>
        </is>
      </c>
      <c r="B10" s="5" t="n">
        <v>370</v>
      </c>
      <c r="C10" s="5" t="n">
        <v>520</v>
      </c>
      <c r="D10" s="5" t="n">
        <v>520</v>
      </c>
      <c r="E10" s="5" t="n">
        <v>640</v>
      </c>
    </row>
    <row r="11">
      <c r="A11" s="2" t="inlineStr">
        <is>
          <t>인건비 (알바)</t>
        </is>
      </c>
      <c r="B11" s="3" t="n">
        <v>4773000</v>
      </c>
      <c r="C11" s="3" t="n">
        <v>6708000</v>
      </c>
      <c r="D11" s="3" t="n">
        <v>6708000</v>
      </c>
      <c r="E11" s="3" t="n">
        <v>8256000</v>
      </c>
    </row>
    <row r="12">
      <c r="A12" s="4" t="inlineStr">
        <is>
          <t>영업이익 (사장 몫, 세전)</t>
        </is>
      </c>
      <c r="B12" s="6" t="n">
        <v>-2600581</v>
      </c>
      <c r="C12" s="6" t="n">
        <v>-1779372</v>
      </c>
      <c r="D12" s="7" t="n">
        <v>976837</v>
      </c>
      <c r="E12" s="7" t="n">
        <v>3103783</v>
      </c>
    </row>
    <row r="13">
      <c r="A13" s="4" t="inlineStr">
        <is>
          <t>사장 인건비 300만원 차감 후</t>
        </is>
      </c>
      <c r="B13" s="6" t="n">
        <v>-5600581</v>
      </c>
      <c r="C13" s="6" t="n">
        <v>-4779372</v>
      </c>
      <c r="D13" s="6" t="n">
        <v>-2023163</v>
      </c>
      <c r="E13" s="7" t="n">
        <v>103783</v>
      </c>
    </row>
    <row r="14">
      <c r="A14" s="4" t="inlineStr">
        <is>
          <t>공헌이익률</t>
        </is>
      </c>
      <c r="B14" s="8" t="n">
        <v>29.8</v>
      </c>
      <c r="C14" s="8" t="n">
        <v>29.8</v>
      </c>
      <c r="D14" s="8" t="n">
        <v>29.8</v>
      </c>
      <c r="E14" s="8" t="n">
        <v>29.8</v>
      </c>
    </row>
    <row r="15">
      <c r="A15" s="4" t="inlineStr">
        <is>
          <t>영업이익률</t>
        </is>
      </c>
      <c r="B15" s="8" t="n">
        <v>-14.1</v>
      </c>
      <c r="C15" s="8" t="n">
        <v>-6.4</v>
      </c>
      <c r="D15" s="8" t="n">
        <v>2.6</v>
      </c>
      <c r="E15" s="8" t="n">
        <v>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14" max="14"/>
  </cols>
  <sheetData>
    <row r="1">
      <c r="A1" s="1" t="inlineStr">
        <is>
          <t>브랜드</t>
        </is>
      </c>
      <c r="B1" s="1" t="inlineStr">
        <is>
          <t>주문비중</t>
        </is>
      </c>
      <c r="C1" s="1" t="inlineStr">
        <is>
          <t>객단가</t>
        </is>
      </c>
      <c r="D1" s="1" t="inlineStr">
        <is>
          <t>즉시할인</t>
        </is>
      </c>
      <c r="E1" s="1" t="inlineStr">
        <is>
          <t>실결제</t>
        </is>
      </c>
      <c r="F1" s="1" t="inlineStr">
        <is>
          <t>원가</t>
        </is>
      </c>
      <c r="G1" s="1" t="inlineStr">
        <is>
          <t>원가율</t>
        </is>
      </c>
      <c r="H1" s="1" t="inlineStr">
        <is>
          <t>수수료(11.1%)</t>
        </is>
      </c>
      <c r="I1" s="1" t="inlineStr">
        <is>
          <t>배달비</t>
        </is>
      </c>
      <c r="J1" s="1" t="inlineStr">
        <is>
          <t>포장재</t>
        </is>
      </c>
      <c r="K1" s="1" t="inlineStr">
        <is>
          <t>부가세</t>
        </is>
      </c>
      <c r="L1" s="1" t="inlineStr">
        <is>
          <t>건당 공헌이익</t>
        </is>
      </c>
      <c r="M1" s="1" t="inlineStr">
        <is>
          <t>공헌이익률</t>
        </is>
      </c>
      <c r="N1" s="1" t="inlineStr">
        <is>
          <t>비고</t>
        </is>
      </c>
    </row>
    <row r="2">
      <c r="A2" t="inlineStr">
        <is>
          <t>김치찜 (3대천왕)</t>
        </is>
      </c>
      <c r="B2" s="8" t="n">
        <v>35</v>
      </c>
      <c r="C2" s="3" t="n">
        <v>19967</v>
      </c>
      <c r="D2" s="3" t="n">
        <v>1000</v>
      </c>
      <c r="E2" s="3" t="n">
        <v>18967</v>
      </c>
      <c r="F2" s="3" t="n">
        <v>5700</v>
      </c>
      <c r="G2" s="8" t="n">
        <v>28.5</v>
      </c>
      <c r="H2" s="3" t="n">
        <v>2105</v>
      </c>
      <c r="I2" s="3" t="n">
        <v>3400</v>
      </c>
      <c r="J2" s="3" t="n">
        <v>900</v>
      </c>
      <c r="K2" s="3" t="n">
        <v>759</v>
      </c>
      <c r="L2" s="3" t="n">
        <v>6102</v>
      </c>
      <c r="M2" s="8" t="n">
        <v>32.2</v>
      </c>
      <c r="N2" t="inlineStr">
        <is>
          <t>본사 마진표 가중평균</t>
        </is>
      </c>
    </row>
    <row r="3">
      <c r="A3" t="inlineStr">
        <is>
          <t>제육덮밥 (제육대가)</t>
        </is>
      </c>
      <c r="B3" s="8" t="n">
        <v>30</v>
      </c>
      <c r="C3" s="3" t="n">
        <v>15000</v>
      </c>
      <c r="D3" s="3" t="n">
        <v>1000</v>
      </c>
      <c r="E3" s="3" t="n">
        <v>14000</v>
      </c>
      <c r="F3" s="3" t="n">
        <v>4950</v>
      </c>
      <c r="G3" s="8" t="n">
        <v>33</v>
      </c>
      <c r="H3" s="3" t="n">
        <v>1554</v>
      </c>
      <c r="I3" s="3" t="n">
        <v>3400</v>
      </c>
      <c r="J3" s="3" t="n">
        <v>500</v>
      </c>
      <c r="K3" s="3" t="n">
        <v>560</v>
      </c>
      <c r="L3" s="3" t="n">
        <v>3036</v>
      </c>
      <c r="M3" s="8" t="n">
        <v>21.7</v>
      </c>
      <c r="N3" t="inlineStr">
        <is>
          <t>1인 13,000원 + 사이드</t>
        </is>
      </c>
    </row>
    <row r="4">
      <c r="A4" t="inlineStr">
        <is>
          <t>닭발 (30년 불멸의 닭발)</t>
        </is>
      </c>
      <c r="B4" s="8" t="n">
        <v>20</v>
      </c>
      <c r="C4" s="3" t="n">
        <v>28000</v>
      </c>
      <c r="D4" s="3" t="n">
        <v>2000</v>
      </c>
      <c r="E4" s="3" t="n">
        <v>26000</v>
      </c>
      <c r="F4" s="3" t="n">
        <v>9240</v>
      </c>
      <c r="G4" s="8" t="n">
        <v>33</v>
      </c>
      <c r="H4" s="3" t="n">
        <v>2886</v>
      </c>
      <c r="I4" s="3" t="n">
        <v>3400</v>
      </c>
      <c r="J4" s="3" t="n">
        <v>800</v>
      </c>
      <c r="K4" s="3" t="n">
        <v>1040</v>
      </c>
      <c r="L4" s="3" t="n">
        <v>8634</v>
      </c>
      <c r="M4" s="8" t="n">
        <v>33.2</v>
      </c>
      <c r="N4" t="inlineStr">
        <is>
          <t>세트 22,900~35,900원</t>
        </is>
      </c>
    </row>
    <row r="5">
      <c r="A5" t="inlineStr">
        <is>
          <t>곱도리탕 (진곱도리탕)</t>
        </is>
      </c>
      <c r="B5" s="8" t="n">
        <v>15</v>
      </c>
      <c r="C5" s="3" t="n">
        <v>32000</v>
      </c>
      <c r="D5" s="3" t="n">
        <v>2000</v>
      </c>
      <c r="E5" s="3" t="n">
        <v>30000</v>
      </c>
      <c r="F5" s="3" t="n">
        <v>12160</v>
      </c>
      <c r="G5" s="8" t="n">
        <v>38</v>
      </c>
      <c r="H5" s="3" t="n">
        <v>3330</v>
      </c>
      <c r="I5" s="3" t="n">
        <v>3400</v>
      </c>
      <c r="J5" s="3" t="n">
        <v>900</v>
      </c>
      <c r="K5" s="3" t="n">
        <v>1200</v>
      </c>
      <c r="L5" s="3" t="n">
        <v>9010</v>
      </c>
      <c r="M5" s="8" t="n">
        <v>30</v>
      </c>
      <c r="N5" t="inlineStr">
        <is>
          <t>소 29,900원~, 곱창 원가 높음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메뉴</t>
        </is>
      </c>
      <c r="B1" s="1" t="inlineStr">
        <is>
          <t>판매가</t>
        </is>
      </c>
      <c r="C1" s="1" t="inlineStr">
        <is>
          <t>원가</t>
        </is>
      </c>
      <c r="D1" s="1" t="inlineStr">
        <is>
          <t>배달비</t>
        </is>
      </c>
      <c r="E1" s="1" t="inlineStr">
        <is>
          <t>중개 7.8%</t>
        </is>
      </c>
      <c r="F1" s="1" t="inlineStr">
        <is>
          <t>결제 3.3%</t>
        </is>
      </c>
      <c r="G1" s="1" t="inlineStr">
        <is>
          <t>본사 계산 마진</t>
        </is>
      </c>
      <c r="H1" s="1" t="inlineStr">
        <is>
          <t>마진율</t>
        </is>
      </c>
      <c r="I1" s="1" t="inlineStr">
        <is>
          <t>포장재</t>
        </is>
      </c>
      <c r="J1" s="1" t="inlineStr">
        <is>
          <t>즉시할인 1,000원</t>
        </is>
      </c>
      <c r="K1" s="1" t="inlineStr">
        <is>
          <t>부가세 4%</t>
        </is>
      </c>
      <c r="L1" s="1" t="inlineStr">
        <is>
          <t>현실 마진</t>
        </is>
      </c>
      <c r="M1" s="1" t="inlineStr">
        <is>
          <t>현실 마진율</t>
        </is>
      </c>
    </row>
    <row r="2">
      <c r="A2" t="inlineStr">
        <is>
          <t>[한그릇] 삼겹듬뿍 김치찜</t>
        </is>
      </c>
      <c r="B2" s="3" t="n">
        <v>12000</v>
      </c>
      <c r="C2" s="3" t="n">
        <v>3088</v>
      </c>
      <c r="D2" s="3" t="n">
        <v>3400</v>
      </c>
      <c r="E2" s="3" t="n">
        <v>936</v>
      </c>
      <c r="F2" s="3" t="n">
        <v>396</v>
      </c>
      <c r="G2" s="3" t="n">
        <v>4180</v>
      </c>
      <c r="H2" s="8" t="n">
        <v>34.8</v>
      </c>
      <c r="I2" s="3" t="n">
        <v>900</v>
      </c>
      <c r="J2" s="3" t="n">
        <v>1000</v>
      </c>
      <c r="K2" s="3" t="n">
        <v>440</v>
      </c>
      <c r="L2" s="3" t="n">
        <v>1951</v>
      </c>
      <c r="M2" s="8" t="n">
        <v>17.7</v>
      </c>
    </row>
    <row r="3">
      <c r="A3" t="inlineStr">
        <is>
          <t>[1.5인분] 삼겹듬뿍 김치찜</t>
        </is>
      </c>
      <c r="B3" s="3" t="n">
        <v>14900</v>
      </c>
      <c r="C3" s="3" t="n">
        <v>3823</v>
      </c>
      <c r="D3" s="3" t="n">
        <v>3400</v>
      </c>
      <c r="E3" s="3" t="n">
        <v>1162</v>
      </c>
      <c r="F3" s="3" t="n">
        <v>492</v>
      </c>
      <c r="G3" s="3" t="n">
        <v>6023</v>
      </c>
      <c r="H3" s="8" t="n">
        <v>40.4</v>
      </c>
      <c r="I3" s="3" t="n">
        <v>900</v>
      </c>
      <c r="J3" s="3" t="n">
        <v>1000</v>
      </c>
      <c r="K3" s="3" t="n">
        <v>556</v>
      </c>
      <c r="L3" s="3" t="n">
        <v>3678</v>
      </c>
      <c r="M3" s="8" t="n">
        <v>26.5</v>
      </c>
    </row>
    <row r="4">
      <c r="A4" t="inlineStr">
        <is>
          <t>삼겹듬뿍 2~3인</t>
        </is>
      </c>
      <c r="B4" s="3" t="n">
        <v>26900</v>
      </c>
      <c r="C4" s="3" t="n">
        <v>8515</v>
      </c>
      <c r="D4" s="3" t="n">
        <v>3400</v>
      </c>
      <c r="E4" s="3" t="n">
        <v>2098</v>
      </c>
      <c r="F4" s="3" t="n">
        <v>888</v>
      </c>
      <c r="G4" s="3" t="n">
        <v>11999</v>
      </c>
      <c r="H4" s="8" t="n">
        <v>44.6</v>
      </c>
      <c r="I4" s="3" t="n">
        <v>900</v>
      </c>
      <c r="J4" s="3" t="n">
        <v>1000</v>
      </c>
      <c r="K4" s="3" t="n">
        <v>1036</v>
      </c>
      <c r="L4" s="3" t="n">
        <v>9174</v>
      </c>
      <c r="M4" s="8" t="n">
        <v>35.4</v>
      </c>
    </row>
    <row r="5">
      <c r="A5" t="inlineStr">
        <is>
          <t>삼겹듬뿍 3~4인</t>
        </is>
      </c>
      <c r="B5" s="3" t="n">
        <v>35500</v>
      </c>
      <c r="C5" s="3" t="n">
        <v>12363</v>
      </c>
      <c r="D5" s="3" t="n">
        <v>3400</v>
      </c>
      <c r="E5" s="3" t="n">
        <v>2769</v>
      </c>
      <c r="F5" s="3" t="n">
        <v>1172</v>
      </c>
      <c r="G5" s="3" t="n">
        <v>15796</v>
      </c>
      <c r="H5" s="8" t="n">
        <v>44.5</v>
      </c>
      <c r="I5" s="3" t="n">
        <v>900</v>
      </c>
      <c r="J5" s="3" t="n">
        <v>1000</v>
      </c>
      <c r="K5" s="3" t="n">
        <v>1380</v>
      </c>
      <c r="L5" s="3" t="n">
        <v>12628</v>
      </c>
      <c r="M5" s="8" t="n">
        <v>36.6</v>
      </c>
    </row>
    <row r="6">
      <c r="A6" t="inlineStr">
        <is>
          <t>1.5인분 스팸폭탄</t>
        </is>
      </c>
      <c r="B6" s="3" t="n">
        <v>14900</v>
      </c>
      <c r="C6" s="3" t="n">
        <v>3398</v>
      </c>
      <c r="D6" s="3" t="n">
        <v>3400</v>
      </c>
      <c r="E6" s="3" t="n">
        <v>1162</v>
      </c>
      <c r="F6" s="3" t="n">
        <v>492</v>
      </c>
      <c r="G6" s="3" t="n">
        <v>6448</v>
      </c>
      <c r="H6" s="8" t="n">
        <v>43.3</v>
      </c>
      <c r="I6" s="3" t="n">
        <v>900</v>
      </c>
      <c r="J6" s="3" t="n">
        <v>1000</v>
      </c>
      <c r="K6" s="3" t="n">
        <v>556</v>
      </c>
      <c r="L6" s="3" t="n">
        <v>4103</v>
      </c>
      <c r="M6" s="8" t="n">
        <v>29.5</v>
      </c>
    </row>
    <row r="7">
      <c r="A7" t="inlineStr">
        <is>
          <t>스팸폭탄 2~3인</t>
        </is>
      </c>
      <c r="B7" s="3" t="n">
        <v>26500</v>
      </c>
      <c r="C7" s="3" t="n">
        <v>6245</v>
      </c>
      <c r="D7" s="3" t="n">
        <v>3400</v>
      </c>
      <c r="E7" s="3" t="n">
        <v>2067</v>
      </c>
      <c r="F7" s="3" t="n">
        <v>874</v>
      </c>
      <c r="G7" s="3" t="n">
        <v>13914</v>
      </c>
      <c r="H7" s="8" t="n">
        <v>52.5</v>
      </c>
      <c r="I7" s="3" t="n">
        <v>900</v>
      </c>
      <c r="J7" s="3" t="n">
        <v>1000</v>
      </c>
      <c r="K7" s="3" t="n">
        <v>1020</v>
      </c>
      <c r="L7" s="3" t="n">
        <v>11104</v>
      </c>
      <c r="M7" s="8" t="n">
        <v>43.5</v>
      </c>
    </row>
    <row r="8">
      <c r="A8" t="inlineStr">
        <is>
          <t>스팸폭탄 3~4인</t>
        </is>
      </c>
      <c r="B8" s="3" t="n">
        <v>33500</v>
      </c>
      <c r="C8" s="3" t="n">
        <v>8763</v>
      </c>
      <c r="D8" s="3" t="n">
        <v>3400</v>
      </c>
      <c r="E8" s="3" t="n">
        <v>2613</v>
      </c>
      <c r="F8" s="3" t="n">
        <v>1106</v>
      </c>
      <c r="G8" s="3" t="n">
        <v>17618</v>
      </c>
      <c r="H8" s="8" t="n">
        <v>52.6</v>
      </c>
      <c r="I8" s="3" t="n">
        <v>900</v>
      </c>
      <c r="J8" s="3" t="n">
        <v>1000</v>
      </c>
      <c r="K8" s="3" t="n">
        <v>1300</v>
      </c>
      <c r="L8" s="3" t="n">
        <v>14530</v>
      </c>
      <c r="M8" s="8" t="n">
        <v>44.7</v>
      </c>
    </row>
    <row r="9">
      <c r="A9" t="inlineStr">
        <is>
          <t>1.5인분 우삼겹</t>
        </is>
      </c>
      <c r="B9" s="3" t="n">
        <v>14900</v>
      </c>
      <c r="C9" s="3" t="n">
        <v>4398</v>
      </c>
      <c r="D9" s="3" t="n">
        <v>3400</v>
      </c>
      <c r="E9" s="3" t="n">
        <v>1162</v>
      </c>
      <c r="F9" s="3" t="n">
        <v>492</v>
      </c>
      <c r="G9" s="3" t="n">
        <v>5448</v>
      </c>
      <c r="H9" s="8" t="n">
        <v>36.6</v>
      </c>
      <c r="I9" s="3" t="n">
        <v>900</v>
      </c>
      <c r="J9" s="3" t="n">
        <v>1000</v>
      </c>
      <c r="K9" s="3" t="n">
        <v>556</v>
      </c>
      <c r="L9" s="3" t="n">
        <v>3103</v>
      </c>
      <c r="M9" s="8" t="n">
        <v>22.3</v>
      </c>
    </row>
    <row r="10">
      <c r="A10" t="inlineStr">
        <is>
          <t>우삼겹 2~3인</t>
        </is>
      </c>
      <c r="B10" s="3" t="n">
        <v>27500</v>
      </c>
      <c r="C10" s="3" t="n">
        <v>9115</v>
      </c>
      <c r="D10" s="3" t="n">
        <v>3400</v>
      </c>
      <c r="E10" s="3" t="n">
        <v>2145</v>
      </c>
      <c r="F10" s="3" t="n">
        <v>908</v>
      </c>
      <c r="G10" s="3" t="n">
        <v>11932</v>
      </c>
      <c r="H10" s="8" t="n">
        <v>43.4</v>
      </c>
      <c r="I10" s="3" t="n">
        <v>900</v>
      </c>
      <c r="J10" s="3" t="n">
        <v>1000</v>
      </c>
      <c r="K10" s="3" t="n">
        <v>1060</v>
      </c>
      <c r="L10" s="3" t="n">
        <v>9084</v>
      </c>
      <c r="M10" s="8" t="n">
        <v>34.3</v>
      </c>
    </row>
    <row r="11">
      <c r="A11" t="inlineStr">
        <is>
          <t>우삼겹 3~4인</t>
        </is>
      </c>
      <c r="B11" s="3" t="n">
        <v>36500</v>
      </c>
      <c r="C11" s="3" t="n">
        <v>13263</v>
      </c>
      <c r="D11" s="3" t="n">
        <v>3400</v>
      </c>
      <c r="E11" s="3" t="n">
        <v>2847</v>
      </c>
      <c r="F11" s="3" t="n">
        <v>1204</v>
      </c>
      <c r="G11" s="3" t="n">
        <v>15786</v>
      </c>
      <c r="H11" s="8" t="n">
        <v>43.2</v>
      </c>
      <c r="I11" s="3" t="n">
        <v>900</v>
      </c>
      <c r="J11" s="3" t="n">
        <v>1000</v>
      </c>
      <c r="K11" s="3" t="n">
        <v>1420</v>
      </c>
      <c r="L11" s="3" t="n">
        <v>12576</v>
      </c>
      <c r="M11" s="8" t="n">
        <v>35.4</v>
      </c>
    </row>
    <row r="12">
      <c r="A12" s="4" t="inlineStr">
        <is>
          <t>매출 가중 평균</t>
        </is>
      </c>
      <c r="H12" s="8" t="n">
        <v>44.9</v>
      </c>
      <c r="M12" s="8" t="n">
        <v>35.1</v>
      </c>
    </row>
    <row r="13">
      <c r="A13" t="inlineStr">
        <is>
          <t>본사 표기 '평균 마진율 46%'는 표의 단순평균(43.6%)·가중평균(44.9%) 어느 쪽과도 맞지 않음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4" t="inlineStr">
        <is>
          <t>월 고정비</t>
        </is>
      </c>
    </row>
    <row r="2">
      <c r="A2" t="inlineStr">
        <is>
          <t>월세</t>
        </is>
      </c>
      <c r="B2" s="3" t="n">
        <v>1000000</v>
      </c>
    </row>
    <row r="3">
      <c r="A3" t="inlineStr">
        <is>
          <t>관리비</t>
        </is>
      </c>
      <c r="B3" s="3" t="n">
        <v>100000</v>
      </c>
    </row>
    <row r="4">
      <c r="A4" t="inlineStr">
        <is>
          <t>전기 (냉장·냉동·후드, 21시간 영업)</t>
        </is>
      </c>
      <c r="B4" s="3" t="n">
        <v>440000</v>
      </c>
    </row>
    <row r="5">
      <c r="A5" t="inlineStr">
        <is>
          <t>가스 (화구, 찜·탕 장시간 조리, 21시간 영업)</t>
        </is>
      </c>
      <c r="B5" s="3" t="n">
        <v>350000</v>
      </c>
    </row>
    <row r="6">
      <c r="A6" t="inlineStr">
        <is>
          <t>수도</t>
        </is>
      </c>
      <c r="B6" s="3" t="n">
        <v>80000</v>
      </c>
    </row>
    <row r="7">
      <c r="A7" t="inlineStr">
        <is>
          <t>통신·POS·주문접수 프로그램</t>
        </is>
      </c>
      <c r="B7" s="3" t="n">
        <v>70000</v>
      </c>
    </row>
    <row r="8">
      <c r="A8" t="inlineStr">
        <is>
          <t>음식물·폐기물 처리</t>
        </is>
      </c>
      <c r="B8" s="3" t="n">
        <v>50000</v>
      </c>
    </row>
    <row r="9">
      <c r="A9" t="inlineStr">
        <is>
          <t>화재·영업배상 보험</t>
        </is>
      </c>
      <c r="B9" s="3" t="n">
        <v>50000</v>
      </c>
    </row>
    <row r="10">
      <c r="A10" t="inlineStr">
        <is>
          <t>세무 기장료</t>
        </is>
      </c>
      <c r="B10" s="3" t="n">
        <v>150000</v>
      </c>
    </row>
    <row r="11">
      <c r="A11" t="inlineStr">
        <is>
          <t>배민 광고 (우리가게클릭 등, 브랜드당 15만)</t>
        </is>
      </c>
      <c r="B11" s="3" t="n">
        <v>600000</v>
      </c>
    </row>
    <row r="12">
      <c r="A12" t="inlineStr">
        <is>
          <t>위생·주방 소모품</t>
        </is>
      </c>
      <c r="B12" s="3" t="n">
        <v>150000</v>
      </c>
    </row>
    <row r="13">
      <c r="A13" t="inlineStr">
        <is>
          <t>로열티·시스템 사용료 (미확인분 대비)</t>
        </is>
      </c>
      <c r="B13" s="3" t="n">
        <v>200000</v>
      </c>
    </row>
    <row r="14">
      <c r="A14" t="inlineStr">
        <is>
          <t>장비 수리·유지</t>
        </is>
      </c>
      <c r="B14" s="3" t="n">
        <v>100000</v>
      </c>
    </row>
    <row r="15">
      <c r="A15" s="4" t="inlineStr">
        <is>
          <t>합계</t>
        </is>
      </c>
      <c r="B15" s="3" t="n">
        <v>3340000</v>
      </c>
    </row>
    <row r="17">
      <c r="A17" s="4" t="inlineStr">
        <is>
          <t>인건비 가정</t>
        </is>
      </c>
    </row>
    <row r="18">
      <c r="A18" t="inlineStr">
        <is>
          <t>2026 최저시급</t>
        </is>
      </c>
      <c r="B18" s="3" t="n">
        <v>10320</v>
      </c>
    </row>
    <row r="19">
      <c r="A19" t="inlineStr">
        <is>
          <t>알바 시간당 실비용 (주휴·보험 포함)</t>
        </is>
      </c>
      <c r="B19" s="3" t="n">
        <v>12900</v>
      </c>
    </row>
    <row r="20">
      <c r="A20" t="inlineStr">
        <is>
          <t>영업시간 (하루)</t>
        </is>
      </c>
      <c r="B20" s="9" t="n">
        <v>21</v>
      </c>
    </row>
    <row r="21">
      <c r="A21" t="inlineStr">
        <is>
          <t>사장 근무 (월)</t>
        </is>
      </c>
      <c r="B21" s="9" t="n">
        <v>260</v>
      </c>
    </row>
    <row r="22">
      <c r="A22" t="inlineStr">
        <is>
          <t>사장 인건비 환산 (판단용)</t>
        </is>
      </c>
      <c r="B22" s="3" t="n">
        <v>3000000</v>
      </c>
    </row>
    <row r="23">
      <c r="A23" t="inlineStr">
        <is>
          <t>※ 5인 미만 사업장은 야간·연장 가산수당 의무 없음 (근로기준법 적용 범위)</t>
        </is>
      </c>
    </row>
    <row r="25">
      <c r="A25" s="4" t="inlineStr">
        <is>
          <t>초기 투자</t>
        </is>
      </c>
    </row>
    <row r="26">
      <c r="A26" t="inlineStr">
        <is>
          <t>점포 보증금</t>
        </is>
      </c>
      <c r="B26" s="3" t="n">
        <v>10000000</v>
      </c>
    </row>
    <row r="27">
      <c r="A27" t="inlineStr">
        <is>
          <t>주방 설비 (화구·냉장·후드·작업대, 중고 혼용)</t>
        </is>
      </c>
      <c r="B27" s="3" t="n">
        <v>15000000</v>
      </c>
    </row>
    <row r="28">
      <c r="A28" t="inlineStr">
        <is>
          <t>3대천왕 김치찜 (가맹금·로열티 0, 초도물품 가정)</t>
        </is>
      </c>
      <c r="B28" s="3" t="n">
        <v>1000000</v>
      </c>
    </row>
    <row r="29">
      <c r="A29" t="inlineStr">
        <is>
          <t>제육대가 창업비용 (인테리어 포함)</t>
        </is>
      </c>
      <c r="B29" s="3" t="n">
        <v>26950000</v>
      </c>
    </row>
    <row r="30">
      <c r="A30" t="inlineStr">
        <is>
          <t>30년 불멸의 닭발 (부담금 5,830 + 인테리어 1,650 중 공용분 제외 가정)</t>
        </is>
      </c>
      <c r="B30" s="3" t="n">
        <v>58300000</v>
      </c>
    </row>
    <row r="31">
      <c r="A31" t="inlineStr">
        <is>
          <t>진곱도리탕 창업비용</t>
        </is>
      </c>
      <c r="B31" s="3" t="n">
        <v>17990000</v>
      </c>
    </row>
    <row r="32">
      <c r="A32" t="inlineStr">
        <is>
          <t>운영 예비비 (3개월 고정비 일부)</t>
        </is>
      </c>
      <c r="B32" s="3" t="n">
        <v>5000000</v>
      </c>
    </row>
    <row r="33">
      <c r="A33" s="4" t="inlineStr">
        <is>
          <t>합계</t>
        </is>
      </c>
      <c r="B33" s="3" t="n">
        <v>134240000</v>
      </c>
    </row>
    <row r="35">
      <c r="A35" s="4" t="inlineStr">
        <is>
          <t>손익분기 (일 주문수)</t>
        </is>
      </c>
    </row>
    <row r="36">
      <c r="A36" t="inlineStr">
        <is>
          <t>영업이익 0원</t>
        </is>
      </c>
      <c r="B36" s="10" t="n">
        <v>55</v>
      </c>
    </row>
    <row r="37">
      <c r="A37" t="inlineStr">
        <is>
          <t>사장 월 300만원 확보</t>
        </is>
      </c>
      <c r="B37" s="10" t="n">
        <v>80</v>
      </c>
    </row>
    <row r="38">
      <c r="A38" t="inlineStr">
        <is>
          <t>사장 300만 + 투자금 24개월 회수</t>
        </is>
      </c>
      <c r="B38" s="10" t="n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1" t="inlineStr">
        <is>
          <t>월매출 1억 5천만 원 달성을 위한 브랜드별 판매 목표 (매출 = 즉시할인 후 실결제액)</t>
        </is>
      </c>
    </row>
    <row r="3">
      <c r="A3" s="12" t="inlineStr">
        <is>
          <t>플랜 A: 현재 메뉴 구성</t>
        </is>
      </c>
    </row>
    <row r="4">
      <c r="A4" s="13" t="inlineStr">
        <is>
          <t>브랜드</t>
        </is>
      </c>
      <c r="B4" s="13" t="inlineStr">
        <is>
          <t>주문 비중</t>
        </is>
      </c>
      <c r="C4" s="13" t="inlineStr">
        <is>
          <t>객단가</t>
        </is>
      </c>
      <c r="D4" s="13" t="inlineStr">
        <is>
          <t>실결제 (할인 후)</t>
        </is>
      </c>
      <c r="E4" s="13" t="inlineStr">
        <is>
          <t>월 판매</t>
        </is>
      </c>
      <c r="F4" s="13" t="inlineStr">
        <is>
          <t>주 판매</t>
        </is>
      </c>
      <c r="G4" s="13" t="inlineStr">
        <is>
          <t>하루 판매</t>
        </is>
      </c>
      <c r="H4" s="13" t="inlineStr">
        <is>
          <t>저녁 피크 시간당</t>
        </is>
      </c>
      <c r="I4" s="13" t="inlineStr">
        <is>
          <t>월 매출</t>
        </is>
      </c>
      <c r="J4" s="13" t="inlineStr">
        <is>
          <t>건당 공헌이익</t>
        </is>
      </c>
      <c r="K4" s="13" t="inlineStr">
        <is>
          <t>월 공헌이익</t>
        </is>
      </c>
    </row>
    <row r="5">
      <c r="A5" t="inlineStr">
        <is>
          <t>김치찜 (3대천왕)</t>
        </is>
      </c>
      <c r="B5" s="8" t="n">
        <v>35</v>
      </c>
      <c r="C5" s="3" t="n">
        <v>19966.8</v>
      </c>
      <c r="D5" s="3" t="n">
        <v>18966.8</v>
      </c>
      <c r="E5" s="14" t="n">
        <v>2556.2</v>
      </c>
      <c r="F5" s="14" t="n">
        <v>596.4</v>
      </c>
      <c r="G5" s="15" t="n">
        <v>85.2</v>
      </c>
      <c r="H5" s="15" t="n">
        <v>12.8</v>
      </c>
      <c r="I5" s="3" t="n">
        <v>48482743</v>
      </c>
      <c r="J5" s="3" t="n">
        <v>6102.3</v>
      </c>
      <c r="K5" s="3" t="n">
        <v>15598671.5</v>
      </c>
    </row>
    <row r="6">
      <c r="A6" t="inlineStr">
        <is>
          <t>제육덮밥 (제육대가)</t>
        </is>
      </c>
      <c r="B6" s="8" t="n">
        <v>30</v>
      </c>
      <c r="C6" s="3" t="n">
        <v>15000</v>
      </c>
      <c r="D6" s="3" t="n">
        <v>14000</v>
      </c>
      <c r="E6" s="14" t="n">
        <v>2191</v>
      </c>
      <c r="F6" s="14" t="n">
        <v>511.2</v>
      </c>
      <c r="G6" s="15" t="n">
        <v>73</v>
      </c>
      <c r="H6" s="15" t="n">
        <v>11</v>
      </c>
      <c r="I6" s="3" t="n">
        <v>30674279.1</v>
      </c>
      <c r="J6" s="3" t="n">
        <v>3036</v>
      </c>
      <c r="K6" s="3" t="n">
        <v>6651936.5</v>
      </c>
    </row>
    <row r="7">
      <c r="A7" t="inlineStr">
        <is>
          <t>닭발 (30년 불멸의 닭발)</t>
        </is>
      </c>
      <c r="B7" s="8" t="n">
        <v>20</v>
      </c>
      <c r="C7" s="3" t="n">
        <v>28000</v>
      </c>
      <c r="D7" s="3" t="n">
        <v>26000</v>
      </c>
      <c r="E7" s="14" t="n">
        <v>1460.7</v>
      </c>
      <c r="F7" s="14" t="n">
        <v>340.8</v>
      </c>
      <c r="G7" s="15" t="n">
        <v>48.7</v>
      </c>
      <c r="H7" s="15" t="n">
        <v>7.3</v>
      </c>
      <c r="I7" s="3" t="n">
        <v>37977678.9</v>
      </c>
      <c r="J7" s="3" t="n">
        <v>8634</v>
      </c>
      <c r="K7" s="3" t="n">
        <v>12611510.7</v>
      </c>
    </row>
    <row r="8">
      <c r="A8" t="inlineStr">
        <is>
          <t>곱도리탕 (진곱도리탕)</t>
        </is>
      </c>
      <c r="B8" s="8" t="n">
        <v>15</v>
      </c>
      <c r="C8" s="3" t="n">
        <v>32000</v>
      </c>
      <c r="D8" s="3" t="n">
        <v>30000</v>
      </c>
      <c r="E8" s="14" t="n">
        <v>1095.5</v>
      </c>
      <c r="F8" s="14" t="n">
        <v>255.6</v>
      </c>
      <c r="G8" s="15" t="n">
        <v>36.5</v>
      </c>
      <c r="H8" s="15" t="n">
        <v>5.5</v>
      </c>
      <c r="I8" s="3" t="n">
        <v>32865299</v>
      </c>
      <c r="J8" s="3" t="n">
        <v>9010</v>
      </c>
      <c r="K8" s="3" t="n">
        <v>9870544.800000001</v>
      </c>
    </row>
    <row r="9">
      <c r="A9" s="12" t="inlineStr">
        <is>
          <t>합계</t>
        </is>
      </c>
      <c r="D9" s="16" t="n">
        <v>20538.38</v>
      </c>
      <c r="E9" s="17" t="n">
        <v>7303.399781287522</v>
      </c>
      <c r="F9" s="17" t="n">
        <v>1704.126615633755</v>
      </c>
      <c r="G9" s="18" t="n">
        <v>243.4466593762508</v>
      </c>
      <c r="H9" s="18" t="n">
        <v>36.51699890643761</v>
      </c>
      <c r="I9" s="16" t="n">
        <v>150000000</v>
      </c>
      <c r="K9" s="16" t="n">
        <v>44732663.57911383</v>
      </c>
    </row>
    <row r="10">
      <c r="A10" t="inlineStr">
        <is>
          <t>공헌이익률 29.8%  ·  저녁 피크 = 18~20시에 하루 주문의 30%가 몰린다는 가정</t>
        </is>
      </c>
    </row>
    <row r="13">
      <c r="A13" s="12" t="inlineStr">
        <is>
          <t>플랜 B: 객단가 상향 (추천) — 김치찜 세트 위주 24,000원, 덮밥 사이드 세트 18,000원</t>
        </is>
      </c>
    </row>
    <row r="14">
      <c r="A14" s="13" t="inlineStr">
        <is>
          <t>브랜드</t>
        </is>
      </c>
      <c r="B14" s="13" t="inlineStr">
        <is>
          <t>주문 비중</t>
        </is>
      </c>
      <c r="C14" s="13" t="inlineStr">
        <is>
          <t>객단가</t>
        </is>
      </c>
      <c r="D14" s="13" t="inlineStr">
        <is>
          <t>실결제 (할인 후)</t>
        </is>
      </c>
      <c r="E14" s="13" t="inlineStr">
        <is>
          <t>월 판매</t>
        </is>
      </c>
      <c r="F14" s="13" t="inlineStr">
        <is>
          <t>주 판매</t>
        </is>
      </c>
      <c r="G14" s="13" t="inlineStr">
        <is>
          <t>하루 판매</t>
        </is>
      </c>
      <c r="H14" s="13" t="inlineStr">
        <is>
          <t>저녁 피크 시간당</t>
        </is>
      </c>
      <c r="I14" s="13" t="inlineStr">
        <is>
          <t>월 매출</t>
        </is>
      </c>
      <c r="J14" s="13" t="inlineStr">
        <is>
          <t>건당 공헌이익</t>
        </is>
      </c>
      <c r="K14" s="13" t="inlineStr">
        <is>
          <t>월 공헌이익</t>
        </is>
      </c>
    </row>
    <row r="15">
      <c r="A15" t="inlineStr">
        <is>
          <t>김치찜 (3대천왕)</t>
        </is>
      </c>
      <c r="B15" s="8" t="n">
        <v>35</v>
      </c>
      <c r="C15" s="3" t="n">
        <v>24000</v>
      </c>
      <c r="D15" s="3" t="n">
        <v>23000</v>
      </c>
      <c r="E15" s="14" t="n">
        <v>2297.6</v>
      </c>
      <c r="F15" s="14" t="n">
        <v>536.1</v>
      </c>
      <c r="G15" s="15" t="n">
        <v>76.59999999999999</v>
      </c>
      <c r="H15" s="15" t="n">
        <v>11.5</v>
      </c>
      <c r="I15" s="3" t="n">
        <v>52844638.9</v>
      </c>
      <c r="J15" s="3" t="n">
        <v>8267</v>
      </c>
      <c r="K15" s="3" t="n">
        <v>18994201.3</v>
      </c>
    </row>
    <row r="16">
      <c r="A16" t="inlineStr">
        <is>
          <t>제육덮밥 (제육대가)</t>
        </is>
      </c>
      <c r="B16" s="8" t="n">
        <v>30</v>
      </c>
      <c r="C16" s="3" t="n">
        <v>18000</v>
      </c>
      <c r="D16" s="3" t="n">
        <v>17000</v>
      </c>
      <c r="E16" s="14" t="n">
        <v>1969.4</v>
      </c>
      <c r="F16" s="14" t="n">
        <v>459.5</v>
      </c>
      <c r="G16" s="15" t="n">
        <v>65.59999999999999</v>
      </c>
      <c r="H16" s="15" t="n">
        <v>9.800000000000001</v>
      </c>
      <c r="I16" s="3" t="n">
        <v>33479212.3</v>
      </c>
      <c r="J16" s="3" t="n">
        <v>4773</v>
      </c>
      <c r="K16" s="3" t="n">
        <v>9399781.199999999</v>
      </c>
    </row>
    <row r="17">
      <c r="A17" t="inlineStr">
        <is>
          <t>닭발 (30년 불멸의 닭발)</t>
        </is>
      </c>
      <c r="B17" s="8" t="n">
        <v>20</v>
      </c>
      <c r="C17" s="3" t="n">
        <v>28000</v>
      </c>
      <c r="D17" s="3" t="n">
        <v>26000</v>
      </c>
      <c r="E17" s="14" t="n">
        <v>1312.9</v>
      </c>
      <c r="F17" s="14" t="n">
        <v>306.3</v>
      </c>
      <c r="G17" s="15" t="n">
        <v>43.8</v>
      </c>
      <c r="H17" s="15" t="n">
        <v>6.6</v>
      </c>
      <c r="I17" s="3" t="n">
        <v>34135667.4</v>
      </c>
      <c r="J17" s="3" t="n">
        <v>8634</v>
      </c>
      <c r="K17" s="3" t="n">
        <v>11335667.4</v>
      </c>
    </row>
    <row r="18">
      <c r="A18" t="inlineStr">
        <is>
          <t>곱도리탕 (진곱도리탕)</t>
        </is>
      </c>
      <c r="B18" s="8" t="n">
        <v>15</v>
      </c>
      <c r="C18" s="3" t="n">
        <v>32000</v>
      </c>
      <c r="D18" s="3" t="n">
        <v>30000</v>
      </c>
      <c r="E18" s="14" t="n">
        <v>984.7</v>
      </c>
      <c r="F18" s="14" t="n">
        <v>229.8</v>
      </c>
      <c r="G18" s="15" t="n">
        <v>32.8</v>
      </c>
      <c r="H18" s="15" t="n">
        <v>4.9</v>
      </c>
      <c r="I18" s="3" t="n">
        <v>29540481.4</v>
      </c>
      <c r="J18" s="3" t="n">
        <v>9010</v>
      </c>
      <c r="K18" s="3" t="n">
        <v>8871991.199999999</v>
      </c>
    </row>
    <row r="19">
      <c r="A19" s="12" t="inlineStr">
        <is>
          <t>합계</t>
        </is>
      </c>
      <c r="D19" s="16" t="n">
        <v>22850</v>
      </c>
      <c r="E19" s="17" t="n">
        <v>6564.551422319474</v>
      </c>
      <c r="F19" s="17" t="n">
        <v>1531.728665207877</v>
      </c>
      <c r="G19" s="18" t="n">
        <v>218.8183807439825</v>
      </c>
      <c r="H19" s="18" t="n">
        <v>32.82275711159737</v>
      </c>
      <c r="I19" s="16" t="n">
        <v>150000000</v>
      </c>
      <c r="K19" s="16" t="n">
        <v>48601641.13785558</v>
      </c>
    </row>
    <row r="20">
      <c r="A20" t="inlineStr">
        <is>
          <t>공헌이익률 32.4%  ·  저녁 피크 = 18~20시에 하루 주문의 30%가 몰린다는 가정</t>
        </is>
      </c>
    </row>
    <row r="23">
      <c r="A23" s="4" t="inlineStr">
        <is>
          <t>현실성 점검</t>
        </is>
      </c>
    </row>
    <row r="24">
      <c r="A24" t="inlineStr">
        <is>
          <t>• 4개 브랜드 가맹점 평균매출 합계는 월 약 8,900만 원 (제육대가 3.4억·명인김치찜 2.5억·불멸닭발 1.45억·도리당 3.3억/연 기준).</t>
        </is>
      </c>
    </row>
    <row r="25">
      <c r="A25" t="inlineStr">
        <is>
          <t xml:space="preserve">  1.5억은 4개 브랜드가 동시에 평균의 약 1.7배를 해야 하는 상위 10% 수준입니다.</t>
        </is>
      </c>
    </row>
    <row r="26">
      <c r="A26" t="inlineStr">
        <is>
          <t>• 김치찜 하루 77~85건은 상권 주문순위 2위 한찜두찜과 정면 경쟁하는 물량입니다.</t>
        </is>
      </c>
    </row>
    <row r="27">
      <c r="A27" t="inlineStr">
        <is>
          <t>• 저녁 피크 시간당 30건 이상은 15평 안팎 주방의 한계에 가깝습니다. 화구·냉장고 수와 포장 동선을 실측하세요.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1" t="inlineStr">
        <is>
          <t>단계별 손익 로드맵 (플랜 B 메뉴 구성 기준, 월세 100만 원)</t>
        </is>
      </c>
    </row>
    <row r="3">
      <c r="A3" s="13" t="inlineStr">
        <is>
          <t>항목</t>
        </is>
      </c>
      <c r="B3" s="13" t="inlineStr">
        <is>
          <t>1단계 오픈~3개월</t>
        </is>
      </c>
      <c r="C3" s="13" t="inlineStr">
        <is>
          <t>2단계 6개월</t>
        </is>
      </c>
      <c r="D3" s="13" t="inlineStr">
        <is>
          <t>3단계 12개월</t>
        </is>
      </c>
      <c r="E3" s="13" t="inlineStr">
        <is>
          <t>4단계 18개월~ (목표)</t>
        </is>
      </c>
    </row>
    <row r="4">
      <c r="A4" s="4" t="inlineStr">
        <is>
          <t>월매출 목표</t>
        </is>
      </c>
      <c r="B4" s="19" t="n">
        <v>35000000</v>
      </c>
      <c r="C4" s="19" t="n">
        <v>70000000</v>
      </c>
      <c r="D4" s="19" t="n">
        <v>100000000</v>
      </c>
      <c r="E4" s="19" t="n">
        <v>150000000</v>
      </c>
    </row>
    <row r="5">
      <c r="A5" t="inlineStr">
        <is>
          <t>월 주문 (4개 브랜드)</t>
        </is>
      </c>
      <c r="B5" s="14" t="n">
        <v>1531.7</v>
      </c>
      <c r="C5" s="14" t="n">
        <v>3063.5</v>
      </c>
      <c r="D5" s="14" t="n">
        <v>4376.4</v>
      </c>
      <c r="E5" s="14" t="n">
        <v>6564.6</v>
      </c>
    </row>
    <row r="6">
      <c r="A6" s="4" t="inlineStr">
        <is>
          <t>하루 주문</t>
        </is>
      </c>
      <c r="B6" s="20" t="n">
        <v>51.1</v>
      </c>
      <c r="C6" s="20" t="n">
        <v>102.1</v>
      </c>
      <c r="D6" s="20" t="n">
        <v>145.9</v>
      </c>
      <c r="E6" s="20" t="n">
        <v>218.8</v>
      </c>
    </row>
    <row r="7">
      <c r="A7" t="inlineStr">
        <is>
          <t xml:space="preserve">  └ 김치찜 (3대천왕) 하루</t>
        </is>
      </c>
      <c r="B7" s="15" t="n">
        <v>17.9</v>
      </c>
      <c r="C7" s="15" t="n">
        <v>35.7</v>
      </c>
      <c r="D7" s="15" t="n">
        <v>51.1</v>
      </c>
      <c r="E7" s="15" t="n">
        <v>76.59999999999999</v>
      </c>
    </row>
    <row r="8">
      <c r="A8" t="inlineStr">
        <is>
          <t xml:space="preserve">  └ 제육덮밥 (제육대가) 하루</t>
        </is>
      </c>
      <c r="B8" s="15" t="n">
        <v>15.3</v>
      </c>
      <c r="C8" s="15" t="n">
        <v>30.6</v>
      </c>
      <c r="D8" s="15" t="n">
        <v>43.8</v>
      </c>
      <c r="E8" s="15" t="n">
        <v>65.59999999999999</v>
      </c>
    </row>
    <row r="9">
      <c r="A9" t="inlineStr">
        <is>
          <t xml:space="preserve">  └ 닭발 (30년 불멸의 닭발) 하루</t>
        </is>
      </c>
      <c r="B9" s="15" t="n">
        <v>10.2</v>
      </c>
      <c r="C9" s="15" t="n">
        <v>20.4</v>
      </c>
      <c r="D9" s="15" t="n">
        <v>29.2</v>
      </c>
      <c r="E9" s="15" t="n">
        <v>43.8</v>
      </c>
    </row>
    <row r="10">
      <c r="A10" t="inlineStr">
        <is>
          <t xml:space="preserve">  └ 곱도리탕 (진곱도리탕) 하루</t>
        </is>
      </c>
      <c r="B10" s="15" t="n">
        <v>7.7</v>
      </c>
      <c r="C10" s="15" t="n">
        <v>15.3</v>
      </c>
      <c r="D10" s="15" t="n">
        <v>21.9</v>
      </c>
      <c r="E10" s="15" t="n">
        <v>32.8</v>
      </c>
    </row>
    <row r="11">
      <c r="A11" t="inlineStr">
        <is>
          <t>식자재 원가</t>
        </is>
      </c>
      <c r="B11" s="3" t="n">
        <v>12002625.8</v>
      </c>
      <c r="C11" s="3" t="n">
        <v>24005251.6</v>
      </c>
      <c r="D11" s="3" t="n">
        <v>34293216.6</v>
      </c>
      <c r="E11" s="3" t="n">
        <v>51439824.9</v>
      </c>
    </row>
    <row r="12">
      <c r="A12" t="inlineStr">
        <is>
          <t>배민 중개·결제수수료</t>
        </is>
      </c>
      <c r="B12" s="3" t="n">
        <v>3885000</v>
      </c>
      <c r="C12" s="3" t="n">
        <v>7770000</v>
      </c>
      <c r="D12" s="3" t="n">
        <v>11100000</v>
      </c>
      <c r="E12" s="3" t="n">
        <v>16650000</v>
      </c>
    </row>
    <row r="13">
      <c r="A13" t="inlineStr">
        <is>
          <t>배달비</t>
        </is>
      </c>
      <c r="B13" s="3" t="n">
        <v>5207877.5</v>
      </c>
      <c r="C13" s="3" t="n">
        <v>10415754.9</v>
      </c>
      <c r="D13" s="3" t="n">
        <v>14879649.9</v>
      </c>
      <c r="E13" s="3" t="n">
        <v>22319474.8</v>
      </c>
    </row>
    <row r="14">
      <c r="A14" t="inlineStr">
        <is>
          <t>포장재</t>
        </is>
      </c>
      <c r="B14" s="3" t="n">
        <v>1164113.8</v>
      </c>
      <c r="C14" s="3" t="n">
        <v>2328227.6</v>
      </c>
      <c r="D14" s="3" t="n">
        <v>3326039.4</v>
      </c>
      <c r="E14" s="3" t="n">
        <v>4989059.1</v>
      </c>
    </row>
    <row r="15">
      <c r="A15" t="inlineStr">
        <is>
          <t>부가세 순부담</t>
        </is>
      </c>
      <c r="B15" s="3" t="n">
        <v>1400000</v>
      </c>
      <c r="C15" s="3" t="n">
        <v>2800000</v>
      </c>
      <c r="D15" s="3" t="n">
        <v>4000000</v>
      </c>
      <c r="E15" s="3" t="n">
        <v>6000000</v>
      </c>
    </row>
    <row r="16">
      <c r="A16" s="4" t="inlineStr">
        <is>
          <t>공헌이익 (변동비 차감 후)</t>
        </is>
      </c>
      <c r="B16" s="19" t="n">
        <v>11340382.9</v>
      </c>
      <c r="C16" s="19" t="n">
        <v>22680765.9</v>
      </c>
      <c r="D16" s="19" t="n">
        <v>32401094.1</v>
      </c>
      <c r="E16" s="19" t="n">
        <v>48601641.1</v>
      </c>
    </row>
    <row r="17">
      <c r="A17" t="inlineStr">
        <is>
          <t>인건비 (알바·직원)</t>
        </is>
      </c>
      <c r="B17" s="3" t="n">
        <v>6966000</v>
      </c>
      <c r="C17" s="3" t="n">
        <v>12483000</v>
      </c>
      <c r="D17" s="3" t="n">
        <v>19332000</v>
      </c>
      <c r="E17" s="3" t="n">
        <v>27241200</v>
      </c>
    </row>
    <row r="18">
      <c r="A18" t="inlineStr">
        <is>
          <t>고정비</t>
        </is>
      </c>
      <c r="B18" s="3" t="n">
        <v>3340000</v>
      </c>
      <c r="C18" s="3" t="n">
        <v>4480000</v>
      </c>
      <c r="D18" s="3" t="n">
        <v>5730000</v>
      </c>
      <c r="E18" s="3" t="n">
        <v>6870000</v>
      </c>
    </row>
    <row r="19">
      <c r="A19" s="4" t="inlineStr">
        <is>
          <t>영업이익 (사장 몫, 세전)</t>
        </is>
      </c>
      <c r="B19" s="7" t="n">
        <v>1034382.9</v>
      </c>
      <c r="C19" s="7" t="n">
        <v>5717765.9</v>
      </c>
      <c r="D19" s="7" t="n">
        <v>7339094.1</v>
      </c>
      <c r="E19" s="7" t="n">
        <v>14490441.1</v>
      </c>
    </row>
    <row r="20">
      <c r="A20" s="4" t="inlineStr">
        <is>
          <t>영업이익률</t>
        </is>
      </c>
      <c r="B20" s="21" t="n">
        <v>3</v>
      </c>
      <c r="C20" s="21" t="n">
        <v>8.199999999999999</v>
      </c>
      <c r="D20" s="21" t="n">
        <v>7.3</v>
      </c>
      <c r="E20" s="21" t="n">
        <v>9.699999999999999</v>
      </c>
    </row>
    <row r="21">
      <c r="A21" s="4" t="inlineStr">
        <is>
          <t>사장 인건비 300만 원 차감 후</t>
        </is>
      </c>
      <c r="B21" s="6" t="n">
        <v>-1965617.1</v>
      </c>
      <c r="C21" s="7" t="n">
        <v>2717765.9</v>
      </c>
      <c r="D21" s="7" t="n">
        <v>4339094.1</v>
      </c>
      <c r="E21" s="7" t="n">
        <v>11490441.1</v>
      </c>
    </row>
    <row r="22">
      <c r="A22" t="inlineStr">
        <is>
          <t>하루 근무 인원 (사장 제외)</t>
        </is>
      </c>
      <c r="B22" s="22" t="n">
        <v>3</v>
      </c>
      <c r="C22" s="22" t="n">
        <v>5</v>
      </c>
      <c r="D22" s="22" t="n">
        <v>8</v>
      </c>
      <c r="E22" s="22" t="n">
        <v>11</v>
      </c>
    </row>
    <row r="23">
      <c r="A23" t="inlineStr">
        <is>
          <t>월 근무시간 합계</t>
        </is>
      </c>
      <c r="B23" s="5" t="n">
        <v>540</v>
      </c>
      <c r="C23" s="5" t="n">
        <v>810</v>
      </c>
      <c r="D23" s="5" t="n">
        <v>1260</v>
      </c>
      <c r="E23" s="5" t="n">
        <v>1800</v>
      </c>
    </row>
    <row r="24">
      <c r="A24" t="inlineStr">
        <is>
          <t>근로기준법</t>
        </is>
      </c>
      <c r="B24" t="inlineStr">
        <is>
          <t>5인 미만: 가산수당 의무 없음</t>
        </is>
      </c>
      <c r="C24" t="inlineStr">
        <is>
          <t>5인 이상: 야간·연장 가산, 4대보험</t>
        </is>
      </c>
      <c r="D24" t="inlineStr">
        <is>
          <t>5인 이상: 야간·연장 가산, 4대보험</t>
        </is>
      </c>
      <c r="E24" t="inlineStr">
        <is>
          <t>5인 이상: 야간·연장 가산, 4대보험</t>
        </is>
      </c>
    </row>
    <row r="27">
      <c r="A27" s="4" t="inlineStr">
        <is>
          <t>읽는 법</t>
        </is>
      </c>
    </row>
    <row r="28">
      <c r="A28" t="inlineStr">
        <is>
          <t>• 단계마다 늘어나는 건 인건비와 고정비입니다. 3단계부터 하루 근무 인원이 5명을 넘어 근로기준법 가산수당이 적용됩니다.</t>
        </is>
      </c>
    </row>
    <row r="29">
      <c r="A29" t="inlineStr">
        <is>
          <t>• 4단계(1.5억)는 월세 100만 원 주방에서 가능한 상한선입니다. 주방이 좁으면 확장 이전 비용을 별도로 잡아야 합니다.</t>
        </is>
      </c>
    </row>
    <row r="30">
      <c r="A30" t="inlineStr">
        <is>
          <t>• 수수료는 배민 최상위 구간(중개 7.8%, 배달비 3,400원) 기준이라 보수적인 추정입니다.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1" t="inlineStr">
        <is>
          <t>단계별 인력 배치 — 21시간 영업 10:00~07:00 (사장 10~20시 근무, 아래는 사장 외 인력)</t>
        </is>
      </c>
    </row>
    <row r="3">
      <c r="A3" s="12" t="inlineStr">
        <is>
          <t>1단계 오픈~3개월 — 월매출 3,500만 원</t>
        </is>
      </c>
    </row>
    <row r="4">
      <c r="A4" s="13" t="inlineStr">
        <is>
          <t>근무조</t>
        </is>
      </c>
      <c r="B4" s="13" t="inlineStr">
        <is>
          <t>시간대</t>
        </is>
      </c>
      <c r="C4" s="13" t="inlineStr">
        <is>
          <t>1일 근무시간</t>
        </is>
      </c>
      <c r="D4" s="13" t="inlineStr">
        <is>
          <t>인원</t>
        </is>
      </c>
      <c r="E4" s="13" t="inlineStr">
        <is>
          <t>그중 야간(22~06)</t>
        </is>
      </c>
      <c r="F4" s="13" t="inlineStr">
        <is>
          <t>월 인시</t>
        </is>
      </c>
      <c r="G4" s="13" t="inlineStr">
        <is>
          <t>평균 시급</t>
        </is>
      </c>
      <c r="H4" s="13" t="inlineStr">
        <is>
          <t>월 인건비</t>
        </is>
      </c>
    </row>
    <row r="5">
      <c r="A5" t="inlineStr">
        <is>
          <t>점심</t>
        </is>
      </c>
      <c r="B5" t="inlineStr">
        <is>
          <t>11:00~15:00</t>
        </is>
      </c>
      <c r="C5" s="9" t="n">
        <v>4</v>
      </c>
      <c r="D5" s="22" t="n">
        <v>1</v>
      </c>
      <c r="E5" s="9" t="n">
        <v>0</v>
      </c>
      <c r="F5" s="5" t="n">
        <v>120</v>
      </c>
      <c r="G5" s="3" t="n">
        <v>12900</v>
      </c>
      <c r="H5" s="3" t="n">
        <v>1548000</v>
      </c>
    </row>
    <row r="6">
      <c r="A6" t="inlineStr">
        <is>
          <t>저녁·야간</t>
        </is>
      </c>
      <c r="B6" t="inlineStr">
        <is>
          <t>17:00~01:00</t>
        </is>
      </c>
      <c r="C6" s="9" t="n">
        <v>8</v>
      </c>
      <c r="D6" s="22" t="n">
        <v>1</v>
      </c>
      <c r="E6" s="9" t="n">
        <v>3</v>
      </c>
      <c r="F6" s="5" t="n">
        <v>240</v>
      </c>
      <c r="G6" s="3" t="n">
        <v>12900</v>
      </c>
      <c r="H6" s="3" t="n">
        <v>3096000</v>
      </c>
    </row>
    <row r="7">
      <c r="A7" t="inlineStr">
        <is>
          <t>심야</t>
        </is>
      </c>
      <c r="B7" t="inlineStr">
        <is>
          <t>01:00~07:00</t>
        </is>
      </c>
      <c r="C7" s="9" t="n">
        <v>6</v>
      </c>
      <c r="D7" s="22" t="n">
        <v>1</v>
      </c>
      <c r="E7" s="9" t="n">
        <v>5</v>
      </c>
      <c r="F7" s="5" t="n">
        <v>180</v>
      </c>
      <c r="G7" s="3" t="n">
        <v>12900</v>
      </c>
      <c r="H7" s="3" t="n">
        <v>2322000</v>
      </c>
    </row>
    <row r="8">
      <c r="A8" s="4" t="inlineStr">
        <is>
          <t>합계</t>
        </is>
      </c>
      <c r="D8" s="23" t="n">
        <v>3</v>
      </c>
      <c r="E8" s="24" t="n">
        <v>8</v>
      </c>
      <c r="F8" s="25" t="n">
        <v>540</v>
      </c>
      <c r="H8" s="19" t="n">
        <v>6966000</v>
      </c>
    </row>
    <row r="9">
      <c r="A9" t="inlineStr">
        <is>
          <t>5인 미만 사업장 → 전 시간 12,900원 (주휴·산재·고용보험, 야간가산 의무 없음)</t>
        </is>
      </c>
    </row>
    <row r="11">
      <c r="A11" s="12" t="inlineStr">
        <is>
          <t>2단계 6개월 — 월매출 7,000만 원</t>
        </is>
      </c>
    </row>
    <row r="12">
      <c r="A12" s="13" t="inlineStr">
        <is>
          <t>근무조</t>
        </is>
      </c>
      <c r="B12" s="13" t="inlineStr">
        <is>
          <t>시간대</t>
        </is>
      </c>
      <c r="C12" s="13" t="inlineStr">
        <is>
          <t>1일 근무시간</t>
        </is>
      </c>
      <c r="D12" s="13" t="inlineStr">
        <is>
          <t>인원</t>
        </is>
      </c>
      <c r="E12" s="13" t="inlineStr">
        <is>
          <t>그중 야간(22~06)</t>
        </is>
      </c>
      <c r="F12" s="13" t="inlineStr">
        <is>
          <t>월 인시</t>
        </is>
      </c>
      <c r="G12" s="13" t="inlineStr">
        <is>
          <t>평균 시급</t>
        </is>
      </c>
      <c r="H12" s="13" t="inlineStr">
        <is>
          <t>월 인건비</t>
        </is>
      </c>
    </row>
    <row r="13">
      <c r="A13" t="inlineStr">
        <is>
          <t>점심</t>
        </is>
      </c>
      <c r="B13" t="inlineStr">
        <is>
          <t>11:00~16:00</t>
        </is>
      </c>
      <c r="C13" s="9" t="n">
        <v>5</v>
      </c>
      <c r="D13" s="22" t="n">
        <v>1</v>
      </c>
      <c r="E13" s="9" t="n">
        <v>0</v>
      </c>
      <c r="F13" s="5" t="n">
        <v>150</v>
      </c>
      <c r="G13" s="3" t="n">
        <v>13500</v>
      </c>
      <c r="H13" s="3" t="n">
        <v>2025000</v>
      </c>
    </row>
    <row r="14">
      <c r="A14" t="inlineStr">
        <is>
          <t>저녁</t>
        </is>
      </c>
      <c r="B14" t="inlineStr">
        <is>
          <t>17:00~23:00</t>
        </is>
      </c>
      <c r="C14" s="9" t="n">
        <v>6</v>
      </c>
      <c r="D14" s="22" t="n">
        <v>2</v>
      </c>
      <c r="E14" s="9" t="n">
        <v>1</v>
      </c>
      <c r="F14" s="5" t="n">
        <v>360</v>
      </c>
      <c r="G14" s="3" t="n">
        <v>14360</v>
      </c>
      <c r="H14" s="3" t="n">
        <v>5169600</v>
      </c>
    </row>
    <row r="15">
      <c r="A15" t="inlineStr">
        <is>
          <t>야간</t>
        </is>
      </c>
      <c r="B15" t="inlineStr">
        <is>
          <t>21:00~03:00</t>
        </is>
      </c>
      <c r="C15" s="9" t="n">
        <v>6</v>
      </c>
      <c r="D15" s="22" t="n">
        <v>1</v>
      </c>
      <c r="E15" s="9" t="n">
        <v>5</v>
      </c>
      <c r="F15" s="5" t="n">
        <v>180</v>
      </c>
      <c r="G15" s="3" t="n">
        <v>17800</v>
      </c>
      <c r="H15" s="3" t="n">
        <v>3204000</v>
      </c>
    </row>
    <row r="16">
      <c r="A16" t="inlineStr">
        <is>
          <t>심야</t>
        </is>
      </c>
      <c r="B16" t="inlineStr">
        <is>
          <t>03:00~07:00</t>
        </is>
      </c>
      <c r="C16" s="9" t="n">
        <v>4</v>
      </c>
      <c r="D16" s="22" t="n">
        <v>1</v>
      </c>
      <c r="E16" s="9" t="n">
        <v>3</v>
      </c>
      <c r="F16" s="5" t="n">
        <v>120</v>
      </c>
      <c r="G16" s="3" t="n">
        <v>17370</v>
      </c>
      <c r="H16" s="3" t="n">
        <v>2084400</v>
      </c>
    </row>
    <row r="17">
      <c r="A17" s="4" t="inlineStr">
        <is>
          <t>합계</t>
        </is>
      </c>
      <c r="D17" s="23" t="n">
        <v>5</v>
      </c>
      <c r="E17" s="24" t="n">
        <v>10</v>
      </c>
      <c r="F17" s="25" t="n">
        <v>810</v>
      </c>
      <c r="H17" s="19" t="n">
        <v>12483000</v>
      </c>
    </row>
    <row r="18">
      <c r="A18" t="inlineStr">
        <is>
          <t>5인 이상 사업장 → 주간 13,500원, 야간(22~06시) 18,660원 (통상임금 50% 가산)</t>
        </is>
      </c>
    </row>
    <row r="20">
      <c r="A20" s="12" t="inlineStr">
        <is>
          <t>3단계 12개월 — 월매출 1억 원</t>
        </is>
      </c>
    </row>
    <row r="21">
      <c r="A21" s="13" t="inlineStr">
        <is>
          <t>근무조</t>
        </is>
      </c>
      <c r="B21" s="13" t="inlineStr">
        <is>
          <t>시간대</t>
        </is>
      </c>
      <c r="C21" s="13" t="inlineStr">
        <is>
          <t>1일 근무시간</t>
        </is>
      </c>
      <c r="D21" s="13" t="inlineStr">
        <is>
          <t>인원</t>
        </is>
      </c>
      <c r="E21" s="13" t="inlineStr">
        <is>
          <t>그중 야간(22~06)</t>
        </is>
      </c>
      <c r="F21" s="13" t="inlineStr">
        <is>
          <t>월 인시</t>
        </is>
      </c>
      <c r="G21" s="13" t="inlineStr">
        <is>
          <t>평균 시급</t>
        </is>
      </c>
      <c r="H21" s="13" t="inlineStr">
        <is>
          <t>월 인건비</t>
        </is>
      </c>
    </row>
    <row r="22">
      <c r="A22" t="inlineStr">
        <is>
          <t>오전 준비</t>
        </is>
      </c>
      <c r="B22" t="inlineStr">
        <is>
          <t>09:00~13:00</t>
        </is>
      </c>
      <c r="C22" s="9" t="n">
        <v>4</v>
      </c>
      <c r="D22" s="22" t="n">
        <v>1</v>
      </c>
      <c r="E22" s="9" t="n">
        <v>0</v>
      </c>
      <c r="F22" s="5" t="n">
        <v>120</v>
      </c>
      <c r="G22" s="3" t="n">
        <v>13500</v>
      </c>
      <c r="H22" s="3" t="n">
        <v>1620000</v>
      </c>
    </row>
    <row r="23">
      <c r="A23" t="inlineStr">
        <is>
          <t>점심</t>
        </is>
      </c>
      <c r="B23" t="inlineStr">
        <is>
          <t>11:00~16:00</t>
        </is>
      </c>
      <c r="C23" s="9" t="n">
        <v>5</v>
      </c>
      <c r="D23" s="22" t="n">
        <v>2</v>
      </c>
      <c r="E23" s="9" t="n">
        <v>0</v>
      </c>
      <c r="F23" s="5" t="n">
        <v>300</v>
      </c>
      <c r="G23" s="3" t="n">
        <v>13500</v>
      </c>
      <c r="H23" s="3" t="n">
        <v>4050000</v>
      </c>
    </row>
    <row r="24">
      <c r="A24" t="inlineStr">
        <is>
          <t>저녁</t>
        </is>
      </c>
      <c r="B24" t="inlineStr">
        <is>
          <t>17:00~23:00</t>
        </is>
      </c>
      <c r="C24" s="9" t="n">
        <v>6</v>
      </c>
      <c r="D24" s="22" t="n">
        <v>2</v>
      </c>
      <c r="E24" s="9" t="n">
        <v>1</v>
      </c>
      <c r="F24" s="5" t="n">
        <v>360</v>
      </c>
      <c r="G24" s="3" t="n">
        <v>14360</v>
      </c>
      <c r="H24" s="3" t="n">
        <v>5169600</v>
      </c>
    </row>
    <row r="25">
      <c r="A25" t="inlineStr">
        <is>
          <t>야간</t>
        </is>
      </c>
      <c r="B25" t="inlineStr">
        <is>
          <t>21:00~03:00</t>
        </is>
      </c>
      <c r="C25" s="9" t="n">
        <v>6</v>
      </c>
      <c r="D25" s="22" t="n">
        <v>2</v>
      </c>
      <c r="E25" s="9" t="n">
        <v>5</v>
      </c>
      <c r="F25" s="5" t="n">
        <v>360</v>
      </c>
      <c r="G25" s="3" t="n">
        <v>17800</v>
      </c>
      <c r="H25" s="3" t="n">
        <v>6408000</v>
      </c>
    </row>
    <row r="26">
      <c r="A26" t="inlineStr">
        <is>
          <t>심야</t>
        </is>
      </c>
      <c r="B26" t="inlineStr">
        <is>
          <t>03:00~07:00</t>
        </is>
      </c>
      <c r="C26" s="9" t="n">
        <v>4</v>
      </c>
      <c r="D26" s="22" t="n">
        <v>1</v>
      </c>
      <c r="E26" s="9" t="n">
        <v>3</v>
      </c>
      <c r="F26" s="5" t="n">
        <v>120</v>
      </c>
      <c r="G26" s="3" t="n">
        <v>17370</v>
      </c>
      <c r="H26" s="3" t="n">
        <v>2084400</v>
      </c>
    </row>
    <row r="27">
      <c r="A27" s="4" t="inlineStr">
        <is>
          <t>합계</t>
        </is>
      </c>
      <c r="D27" s="23" t="n">
        <v>8</v>
      </c>
      <c r="E27" s="24" t="n">
        <v>15</v>
      </c>
      <c r="F27" s="25" t="n">
        <v>1260</v>
      </c>
      <c r="H27" s="19" t="n">
        <v>19332000</v>
      </c>
    </row>
    <row r="28">
      <c r="A28" t="inlineStr">
        <is>
          <t>5인 이상 사업장 → 주간 13,500원, 야간(22~06시) 18,660원 (통상임금 50% 가산)</t>
        </is>
      </c>
    </row>
    <row r="30">
      <c r="A30" s="12" t="inlineStr">
        <is>
          <t>4단계 18개월~ (목표) — 월매출 1억 5,000만 원</t>
        </is>
      </c>
    </row>
    <row r="31">
      <c r="A31" s="13" t="inlineStr">
        <is>
          <t>근무조</t>
        </is>
      </c>
      <c r="B31" s="13" t="inlineStr">
        <is>
          <t>시간대</t>
        </is>
      </c>
      <c r="C31" s="13" t="inlineStr">
        <is>
          <t>1일 근무시간</t>
        </is>
      </c>
      <c r="D31" s="13" t="inlineStr">
        <is>
          <t>인원</t>
        </is>
      </c>
      <c r="E31" s="13" t="inlineStr">
        <is>
          <t>그중 야간(22~06)</t>
        </is>
      </c>
      <c r="F31" s="13" t="inlineStr">
        <is>
          <t>월 인시</t>
        </is>
      </c>
      <c r="G31" s="13" t="inlineStr">
        <is>
          <t>평균 시급</t>
        </is>
      </c>
      <c r="H31" s="13" t="inlineStr">
        <is>
          <t>월 인건비</t>
        </is>
      </c>
    </row>
    <row r="32">
      <c r="A32" t="inlineStr">
        <is>
          <t>오전 준비</t>
        </is>
      </c>
      <c r="B32" t="inlineStr">
        <is>
          <t>09:00~13:00</t>
        </is>
      </c>
      <c r="C32" s="9" t="n">
        <v>4</v>
      </c>
      <c r="D32" s="22" t="n">
        <v>2</v>
      </c>
      <c r="E32" s="9" t="n">
        <v>0</v>
      </c>
      <c r="F32" s="5" t="n">
        <v>240</v>
      </c>
      <c r="G32" s="3" t="n">
        <v>13500</v>
      </c>
      <c r="H32" s="3" t="n">
        <v>3240000</v>
      </c>
    </row>
    <row r="33">
      <c r="A33" t="inlineStr">
        <is>
          <t>점심</t>
        </is>
      </c>
      <c r="B33" t="inlineStr">
        <is>
          <t>11:00~16:00</t>
        </is>
      </c>
      <c r="C33" s="9" t="n">
        <v>5</v>
      </c>
      <c r="D33" s="22" t="n">
        <v>2</v>
      </c>
      <c r="E33" s="9" t="n">
        <v>0</v>
      </c>
      <c r="F33" s="5" t="n">
        <v>300</v>
      </c>
      <c r="G33" s="3" t="n">
        <v>13500</v>
      </c>
      <c r="H33" s="3" t="n">
        <v>4050000</v>
      </c>
    </row>
    <row r="34">
      <c r="A34" t="inlineStr">
        <is>
          <t>저녁</t>
        </is>
      </c>
      <c r="B34" t="inlineStr">
        <is>
          <t>17:00~23:00</t>
        </is>
      </c>
      <c r="C34" s="9" t="n">
        <v>6</v>
      </c>
      <c r="D34" s="22" t="n">
        <v>4</v>
      </c>
      <c r="E34" s="9" t="n">
        <v>1</v>
      </c>
      <c r="F34" s="5" t="n">
        <v>720</v>
      </c>
      <c r="G34" s="3" t="n">
        <v>14360</v>
      </c>
      <c r="H34" s="3" t="n">
        <v>10339200</v>
      </c>
    </row>
    <row r="35">
      <c r="A35" t="inlineStr">
        <is>
          <t>야간</t>
        </is>
      </c>
      <c r="B35" t="inlineStr">
        <is>
          <t>21:00~03:00</t>
        </is>
      </c>
      <c r="C35" s="9" t="n">
        <v>6</v>
      </c>
      <c r="D35" s="22" t="n">
        <v>2</v>
      </c>
      <c r="E35" s="9" t="n">
        <v>5</v>
      </c>
      <c r="F35" s="5" t="n">
        <v>360</v>
      </c>
      <c r="G35" s="3" t="n">
        <v>17800</v>
      </c>
      <c r="H35" s="3" t="n">
        <v>6408000</v>
      </c>
    </row>
    <row r="36">
      <c r="A36" t="inlineStr">
        <is>
          <t>심야</t>
        </is>
      </c>
      <c r="B36" t="inlineStr">
        <is>
          <t>01:00~07:00</t>
        </is>
      </c>
      <c r="C36" s="9" t="n">
        <v>6</v>
      </c>
      <c r="D36" s="22" t="n">
        <v>1</v>
      </c>
      <c r="E36" s="9" t="n">
        <v>5</v>
      </c>
      <c r="F36" s="5" t="n">
        <v>180</v>
      </c>
      <c r="G36" s="3" t="n">
        <v>17800</v>
      </c>
      <c r="H36" s="3" t="n">
        <v>3204000</v>
      </c>
    </row>
    <row r="37">
      <c r="A37" s="4" t="inlineStr">
        <is>
          <t>합계</t>
        </is>
      </c>
      <c r="D37" s="23" t="n">
        <v>11</v>
      </c>
      <c r="E37" s="24" t="n">
        <v>19</v>
      </c>
      <c r="F37" s="25" t="n">
        <v>1800</v>
      </c>
      <c r="H37" s="19" t="n">
        <v>27241200</v>
      </c>
    </row>
    <row r="38">
      <c r="A38" t="inlineStr">
        <is>
          <t>5인 이상 사업장 → 주간 13,500원, 야간(22~06시) 18,660원 (통상임금 50% 가산)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3" t="inlineStr">
        <is>
          <t>항목</t>
        </is>
      </c>
      <c r="B1" s="13" t="inlineStr">
        <is>
          <t>1단계 오픈~3개월</t>
        </is>
      </c>
      <c r="C1" s="13" t="inlineStr">
        <is>
          <t>2단계 6개월</t>
        </is>
      </c>
      <c r="D1" s="13" t="inlineStr">
        <is>
          <t>3단계 12개월</t>
        </is>
      </c>
      <c r="E1" s="13" t="inlineStr">
        <is>
          <t>4단계 18개월~ (목표)</t>
        </is>
      </c>
    </row>
    <row r="2">
      <c r="A2" t="inlineStr">
        <is>
          <t>월세</t>
        </is>
      </c>
      <c r="B2" s="3" t="n">
        <v>1000000</v>
      </c>
      <c r="C2" s="3" t="n">
        <v>1000000</v>
      </c>
      <c r="D2" s="3" t="n">
        <v>1000000</v>
      </c>
      <c r="E2" s="3" t="n">
        <v>1000000</v>
      </c>
    </row>
    <row r="3">
      <c r="A3" t="inlineStr">
        <is>
          <t>관리비</t>
        </is>
      </c>
      <c r="B3" s="3" t="n">
        <v>100000</v>
      </c>
      <c r="C3" s="3" t="n">
        <v>100000</v>
      </c>
      <c r="D3" s="3" t="n">
        <v>100000</v>
      </c>
      <c r="E3" s="3" t="n">
        <v>100000</v>
      </c>
    </row>
    <row r="4">
      <c r="A4" t="inlineStr">
        <is>
          <t>전기 (21시간: 조명·후드 +25%)</t>
        </is>
      </c>
      <c r="B4" s="3" t="n">
        <v>440000</v>
      </c>
      <c r="C4" s="3" t="n">
        <v>690000</v>
      </c>
      <c r="D4" s="3" t="n">
        <v>940000</v>
      </c>
      <c r="E4" s="3" t="n">
        <v>1190000</v>
      </c>
    </row>
    <row r="5">
      <c r="A5" t="inlineStr">
        <is>
          <t>가스 (21시간: +15%)</t>
        </is>
      </c>
      <c r="B5" s="3" t="n">
        <v>350000</v>
      </c>
      <c r="C5" s="3" t="n">
        <v>520000</v>
      </c>
      <c r="D5" s="3" t="n">
        <v>690000</v>
      </c>
      <c r="E5" s="3" t="n">
        <v>920000</v>
      </c>
    </row>
    <row r="6">
      <c r="A6" t="inlineStr">
        <is>
          <t>수도</t>
        </is>
      </c>
      <c r="B6" s="3" t="n">
        <v>80000</v>
      </c>
      <c r="C6" s="3" t="n">
        <v>120000</v>
      </c>
      <c r="D6" s="3" t="n">
        <v>160000</v>
      </c>
      <c r="E6" s="3" t="n">
        <v>220000</v>
      </c>
    </row>
    <row r="7">
      <c r="A7" t="inlineStr">
        <is>
          <t>통신·POS·주문접수</t>
        </is>
      </c>
      <c r="B7" s="3" t="n">
        <v>70000</v>
      </c>
      <c r="C7" s="3" t="n">
        <v>70000</v>
      </c>
      <c r="D7" s="3" t="n">
        <v>90000</v>
      </c>
      <c r="E7" s="3" t="n">
        <v>90000</v>
      </c>
    </row>
    <row r="8">
      <c r="A8" t="inlineStr">
        <is>
          <t>음식물·폐기물</t>
        </is>
      </c>
      <c r="B8" s="3" t="n">
        <v>50000</v>
      </c>
      <c r="C8" s="3" t="n">
        <v>80000</v>
      </c>
      <c r="D8" s="3" t="n">
        <v>120000</v>
      </c>
      <c r="E8" s="3" t="n">
        <v>150000</v>
      </c>
    </row>
    <row r="9">
      <c r="A9" t="inlineStr">
        <is>
          <t>보험 (화재·영업배상)</t>
        </is>
      </c>
      <c r="B9" s="3" t="n">
        <v>50000</v>
      </c>
      <c r="C9" s="3" t="n">
        <v>50000</v>
      </c>
      <c r="D9" s="3" t="n">
        <v>80000</v>
      </c>
      <c r="E9" s="3" t="n">
        <v>100000</v>
      </c>
    </row>
    <row r="10">
      <c r="A10" t="inlineStr">
        <is>
          <t>세무 기장</t>
        </is>
      </c>
      <c r="B10" s="3" t="n">
        <v>150000</v>
      </c>
      <c r="C10" s="3" t="n">
        <v>150000</v>
      </c>
      <c r="D10" s="3" t="n">
        <v>200000</v>
      </c>
      <c r="E10" s="3" t="n">
        <v>250000</v>
      </c>
    </row>
    <row r="11">
      <c r="A11" t="inlineStr">
        <is>
          <t>배민 광고 (4개 브랜드)</t>
        </is>
      </c>
      <c r="B11" s="3" t="n">
        <v>600000</v>
      </c>
      <c r="C11" s="3" t="n">
        <v>1000000</v>
      </c>
      <c r="D11" s="3" t="n">
        <v>1400000</v>
      </c>
      <c r="E11" s="3" t="n">
        <v>1600000</v>
      </c>
    </row>
    <row r="12">
      <c r="A12" t="inlineStr">
        <is>
          <t>위생·주방 소모품</t>
        </is>
      </c>
      <c r="B12" s="3" t="n">
        <v>150000</v>
      </c>
      <c r="C12" s="3" t="n">
        <v>250000</v>
      </c>
      <c r="D12" s="3" t="n">
        <v>350000</v>
      </c>
      <c r="E12" s="3" t="n">
        <v>500000</v>
      </c>
    </row>
    <row r="13">
      <c r="A13" t="inlineStr">
        <is>
          <t>로열티·시스템 사용료 예비</t>
        </is>
      </c>
      <c r="B13" s="3" t="n">
        <v>200000</v>
      </c>
      <c r="C13" s="3" t="n">
        <v>300000</v>
      </c>
      <c r="D13" s="3" t="n">
        <v>400000</v>
      </c>
      <c r="E13" s="3" t="n">
        <v>500000</v>
      </c>
    </row>
    <row r="14">
      <c r="A14" t="inlineStr">
        <is>
          <t>장비 수리·유지</t>
        </is>
      </c>
      <c r="B14" s="3" t="n">
        <v>100000</v>
      </c>
      <c r="C14" s="3" t="n">
        <v>150000</v>
      </c>
      <c r="D14" s="3" t="n">
        <v>200000</v>
      </c>
      <c r="E14" s="3" t="n">
        <v>250000</v>
      </c>
    </row>
    <row r="15">
      <c r="A15" s="4" t="inlineStr">
        <is>
          <t>합계</t>
        </is>
      </c>
      <c r="B15" s="19" t="n">
        <v>3340000</v>
      </c>
      <c r="C15" s="19" t="n">
        <v>4480000</v>
      </c>
      <c r="D15" s="19" t="n">
        <v>5730000</v>
      </c>
      <c r="E15" s="19" t="n">
        <v>6870000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1" t="inlineStr">
        <is>
          <t>시간대별 주문 수요 vs 처리 가능량 (1인당 시간당 8건, 주방 설비 한계 시간당 40건, 사장 10~20시 근무)</t>
        </is>
      </c>
    </row>
    <row r="3">
      <c r="A3" s="12" t="inlineStr">
        <is>
          <t>1단계 오픈~3개월 — 월매출 3,500만 원</t>
        </is>
      </c>
    </row>
    <row r="4">
      <c r="A4" s="13" t="inlineStr">
        <is>
          <t>시간</t>
        </is>
      </c>
      <c r="B4" s="13" t="inlineStr">
        <is>
          <t>김치찜</t>
        </is>
      </c>
      <c r="C4" s="13" t="inlineStr">
        <is>
          <t>제육덮밥</t>
        </is>
      </c>
      <c r="D4" s="13" t="inlineStr">
        <is>
          <t>닭발</t>
        </is>
      </c>
      <c r="E4" s="13" t="inlineStr">
        <is>
          <t>곱도리탕</t>
        </is>
      </c>
      <c r="F4" s="13" t="inlineStr">
        <is>
          <t>총 주문</t>
        </is>
      </c>
      <c r="G4" s="13" t="inlineStr">
        <is>
          <t>근무 인원(사장 포함)</t>
        </is>
      </c>
      <c r="H4" s="13" t="inlineStr">
        <is>
          <t>처리 가능(인력)</t>
        </is>
      </c>
      <c r="I4" s="13" t="inlineStr">
        <is>
          <t>처리 가능(최종)</t>
        </is>
      </c>
      <c r="J4" s="13" t="inlineStr">
        <is>
          <t>가동률</t>
        </is>
      </c>
      <c r="K4" s="13" t="inlineStr">
        <is>
          <t>판정</t>
        </is>
      </c>
    </row>
    <row r="5">
      <c r="A5" t="inlineStr">
        <is>
          <t>10시</t>
        </is>
      </c>
      <c r="B5" s="15" t="n">
        <v>0.2</v>
      </c>
      <c r="C5" s="15" t="n">
        <v>0.3</v>
      </c>
      <c r="D5" s="15" t="n">
        <v>0</v>
      </c>
      <c r="E5" s="15" t="n">
        <v>0</v>
      </c>
      <c r="F5" s="20" t="n">
        <v>0.5</v>
      </c>
      <c r="G5" s="22" t="n">
        <v>1</v>
      </c>
      <c r="H5" s="26" t="n">
        <v>8</v>
      </c>
      <c r="I5" s="26" t="n">
        <v>8</v>
      </c>
      <c r="J5" s="8" t="n">
        <v>6.2</v>
      </c>
      <c r="K5" s="27" t="inlineStr">
        <is>
          <t>여유</t>
        </is>
      </c>
    </row>
    <row r="6">
      <c r="A6" t="inlineStr">
        <is>
          <t>11시</t>
        </is>
      </c>
      <c r="B6" s="15" t="n">
        <v>0.5</v>
      </c>
      <c r="C6" s="15" t="n">
        <v>1.2</v>
      </c>
      <c r="D6" s="15" t="n">
        <v>0</v>
      </c>
      <c r="E6" s="15" t="n">
        <v>0.1</v>
      </c>
      <c r="F6" s="20" t="n">
        <v>1.8</v>
      </c>
      <c r="G6" s="22" t="n">
        <v>2</v>
      </c>
      <c r="H6" s="26" t="n">
        <v>16</v>
      </c>
      <c r="I6" s="26" t="n">
        <v>16</v>
      </c>
      <c r="J6" s="8" t="n">
        <v>10.9</v>
      </c>
      <c r="K6" s="27" t="inlineStr">
        <is>
          <t>여유</t>
        </is>
      </c>
    </row>
    <row r="7">
      <c r="A7" t="inlineStr">
        <is>
          <t>12시</t>
        </is>
      </c>
      <c r="B7" s="15" t="n">
        <v>1.5</v>
      </c>
      <c r="C7" s="15" t="n">
        <v>3.2</v>
      </c>
      <c r="D7" s="15" t="n">
        <v>0.1</v>
      </c>
      <c r="E7" s="15" t="n">
        <v>0.2</v>
      </c>
      <c r="F7" s="20" t="n">
        <v>5</v>
      </c>
      <c r="G7" s="22" t="n">
        <v>2</v>
      </c>
      <c r="H7" s="26" t="n">
        <v>16</v>
      </c>
      <c r="I7" s="26" t="n">
        <v>16</v>
      </c>
      <c r="J7" s="8" t="n">
        <v>31.5</v>
      </c>
      <c r="K7" s="27" t="inlineStr">
        <is>
          <t>여유</t>
        </is>
      </c>
    </row>
    <row r="8">
      <c r="A8" t="inlineStr">
        <is>
          <t>13시</t>
        </is>
      </c>
      <c r="B8" s="15" t="n">
        <v>1</v>
      </c>
      <c r="C8" s="15" t="n">
        <v>2.1</v>
      </c>
      <c r="D8" s="15" t="n">
        <v>0.1</v>
      </c>
      <c r="E8" s="15" t="n">
        <v>0.1</v>
      </c>
      <c r="F8" s="20" t="n">
        <v>3.3</v>
      </c>
      <c r="G8" s="22" t="n">
        <v>2</v>
      </c>
      <c r="H8" s="26" t="n">
        <v>16</v>
      </c>
      <c r="I8" s="26" t="n">
        <v>16</v>
      </c>
      <c r="J8" s="8" t="n">
        <v>20.6</v>
      </c>
      <c r="K8" s="27" t="inlineStr">
        <is>
          <t>여유</t>
        </is>
      </c>
    </row>
    <row r="9">
      <c r="A9" t="inlineStr">
        <is>
          <t>14시</t>
        </is>
      </c>
      <c r="B9" s="15" t="n">
        <v>0.5</v>
      </c>
      <c r="C9" s="15" t="n">
        <v>0.7</v>
      </c>
      <c r="D9" s="15" t="n">
        <v>0.1</v>
      </c>
      <c r="E9" s="15" t="n">
        <v>0.1</v>
      </c>
      <c r="F9" s="20" t="n">
        <v>1.4</v>
      </c>
      <c r="G9" s="22" t="n">
        <v>2</v>
      </c>
      <c r="H9" s="26" t="n">
        <v>16</v>
      </c>
      <c r="I9" s="26" t="n">
        <v>16</v>
      </c>
      <c r="J9" s="8" t="n">
        <v>8.699999999999999</v>
      </c>
      <c r="K9" s="27" t="inlineStr">
        <is>
          <t>여유</t>
        </is>
      </c>
    </row>
    <row r="10">
      <c r="A10" t="inlineStr">
        <is>
          <t>15시</t>
        </is>
      </c>
      <c r="B10" s="15" t="n">
        <v>0.3</v>
      </c>
      <c r="C10" s="15" t="n">
        <v>0.4</v>
      </c>
      <c r="D10" s="15" t="n">
        <v>0.1</v>
      </c>
      <c r="E10" s="15" t="n">
        <v>0.1</v>
      </c>
      <c r="F10" s="20" t="n">
        <v>0.9</v>
      </c>
      <c r="G10" s="22" t="n">
        <v>1</v>
      </c>
      <c r="H10" s="26" t="n">
        <v>8</v>
      </c>
      <c r="I10" s="26" t="n">
        <v>8</v>
      </c>
      <c r="J10" s="8" t="n">
        <v>11.6</v>
      </c>
      <c r="K10" s="27" t="inlineStr">
        <is>
          <t>여유</t>
        </is>
      </c>
    </row>
    <row r="11">
      <c r="A11" t="inlineStr">
        <is>
          <t>16시</t>
        </is>
      </c>
      <c r="B11" s="15" t="n">
        <v>0.5</v>
      </c>
      <c r="C11" s="15" t="n">
        <v>0.4</v>
      </c>
      <c r="D11" s="15" t="n">
        <v>0.2</v>
      </c>
      <c r="E11" s="15" t="n">
        <v>0.2</v>
      </c>
      <c r="F11" s="20" t="n">
        <v>1.3</v>
      </c>
      <c r="G11" s="22" t="n">
        <v>1</v>
      </c>
      <c r="H11" s="26" t="n">
        <v>8</v>
      </c>
      <c r="I11" s="26" t="n">
        <v>8</v>
      </c>
      <c r="J11" s="8" t="n">
        <v>16.5</v>
      </c>
      <c r="K11" s="27" t="inlineStr">
        <is>
          <t>여유</t>
        </is>
      </c>
    </row>
    <row r="12">
      <c r="A12" t="inlineStr">
        <is>
          <t>17시</t>
        </is>
      </c>
      <c r="B12" s="15" t="n">
        <v>1.2</v>
      </c>
      <c r="C12" s="15" t="n">
        <v>1</v>
      </c>
      <c r="D12" s="15" t="n">
        <v>0.3</v>
      </c>
      <c r="E12" s="15" t="n">
        <v>0.6</v>
      </c>
      <c r="F12" s="20" t="n">
        <v>3.1</v>
      </c>
      <c r="G12" s="22" t="n">
        <v>2</v>
      </c>
      <c r="H12" s="26" t="n">
        <v>16</v>
      </c>
      <c r="I12" s="26" t="n">
        <v>16</v>
      </c>
      <c r="J12" s="8" t="n">
        <v>19.4</v>
      </c>
      <c r="K12" s="27" t="inlineStr">
        <is>
          <t>여유</t>
        </is>
      </c>
    </row>
    <row r="13">
      <c r="A13" t="inlineStr">
        <is>
          <t>18시</t>
        </is>
      </c>
      <c r="B13" s="15" t="n">
        <v>2.7</v>
      </c>
      <c r="C13" s="15" t="n">
        <v>1.9</v>
      </c>
      <c r="D13" s="15" t="n">
        <v>0.7</v>
      </c>
      <c r="E13" s="15" t="n">
        <v>1.1</v>
      </c>
      <c r="F13" s="20" t="n">
        <v>6.4</v>
      </c>
      <c r="G13" s="22" t="n">
        <v>2</v>
      </c>
      <c r="H13" s="26" t="n">
        <v>16</v>
      </c>
      <c r="I13" s="26" t="n">
        <v>16</v>
      </c>
      <c r="J13" s="8" t="n">
        <v>40</v>
      </c>
      <c r="K13" s="27" t="inlineStr">
        <is>
          <t>여유</t>
        </is>
      </c>
    </row>
    <row r="14">
      <c r="A14" t="inlineStr">
        <is>
          <t>19시</t>
        </is>
      </c>
      <c r="B14" s="15" t="n">
        <v>3</v>
      </c>
      <c r="C14" s="15" t="n">
        <v>1.8</v>
      </c>
      <c r="D14" s="15" t="n">
        <v>0.9</v>
      </c>
      <c r="E14" s="15" t="n">
        <v>1.3</v>
      </c>
      <c r="F14" s="20" t="n">
        <v>7</v>
      </c>
      <c r="G14" s="22" t="n">
        <v>2</v>
      </c>
      <c r="H14" s="26" t="n">
        <v>16</v>
      </c>
      <c r="I14" s="26" t="n">
        <v>16</v>
      </c>
      <c r="J14" s="8" t="n">
        <v>44</v>
      </c>
      <c r="K14" s="27" t="inlineStr">
        <is>
          <t>여유</t>
        </is>
      </c>
    </row>
    <row r="15">
      <c r="A15" t="inlineStr">
        <is>
          <t>20시</t>
        </is>
      </c>
      <c r="B15" s="15" t="n">
        <v>2</v>
      </c>
      <c r="C15" s="15" t="n">
        <v>1</v>
      </c>
      <c r="D15" s="15" t="n">
        <v>1.1</v>
      </c>
      <c r="E15" s="15" t="n">
        <v>1.1</v>
      </c>
      <c r="F15" s="20" t="n">
        <v>5.3</v>
      </c>
      <c r="G15" s="22" t="n">
        <v>1</v>
      </c>
      <c r="H15" s="26" t="n">
        <v>8</v>
      </c>
      <c r="I15" s="26" t="n">
        <v>8</v>
      </c>
      <c r="J15" s="8" t="n">
        <v>65.59999999999999</v>
      </c>
      <c r="K15" s="27" t="inlineStr">
        <is>
          <t>여유</t>
        </is>
      </c>
    </row>
    <row r="16">
      <c r="A16" t="inlineStr">
        <is>
          <t>21시</t>
        </is>
      </c>
      <c r="B16" s="15" t="n">
        <v>1.3</v>
      </c>
      <c r="C16" s="15" t="n">
        <v>0.4</v>
      </c>
      <c r="D16" s="15" t="n">
        <v>1.2</v>
      </c>
      <c r="E16" s="15" t="n">
        <v>0.8</v>
      </c>
      <c r="F16" s="20" t="n">
        <v>3.8</v>
      </c>
      <c r="G16" s="22" t="n">
        <v>1</v>
      </c>
      <c r="H16" s="26" t="n">
        <v>8</v>
      </c>
      <c r="I16" s="26" t="n">
        <v>8</v>
      </c>
      <c r="J16" s="8" t="n">
        <v>47.5</v>
      </c>
      <c r="K16" s="27" t="inlineStr">
        <is>
          <t>여유</t>
        </is>
      </c>
    </row>
    <row r="17">
      <c r="A17" t="inlineStr">
        <is>
          <t>22시</t>
        </is>
      </c>
      <c r="B17" s="15" t="n">
        <v>1</v>
      </c>
      <c r="C17" s="15" t="n">
        <v>0.3</v>
      </c>
      <c r="D17" s="15" t="n">
        <v>1.3</v>
      </c>
      <c r="E17" s="15" t="n">
        <v>0.6</v>
      </c>
      <c r="F17" s="20" t="n">
        <v>3.2</v>
      </c>
      <c r="G17" s="22" t="n">
        <v>1</v>
      </c>
      <c r="H17" s="26" t="n">
        <v>8</v>
      </c>
      <c r="I17" s="26" t="n">
        <v>8</v>
      </c>
      <c r="J17" s="8" t="n">
        <v>39.8</v>
      </c>
      <c r="K17" s="27" t="inlineStr">
        <is>
          <t>여유</t>
        </is>
      </c>
    </row>
    <row r="18">
      <c r="A18" t="inlineStr">
        <is>
          <t>23시</t>
        </is>
      </c>
      <c r="B18" s="15" t="n">
        <v>0.7</v>
      </c>
      <c r="C18" s="15" t="n">
        <v>0.1</v>
      </c>
      <c r="D18" s="15" t="n">
        <v>1.1</v>
      </c>
      <c r="E18" s="15" t="n">
        <v>0.4</v>
      </c>
      <c r="F18" s="20" t="n">
        <v>2.4</v>
      </c>
      <c r="G18" s="22" t="n">
        <v>1</v>
      </c>
      <c r="H18" s="26" t="n">
        <v>8</v>
      </c>
      <c r="I18" s="26" t="n">
        <v>8</v>
      </c>
      <c r="J18" s="8" t="n">
        <v>29.9</v>
      </c>
      <c r="K18" s="27" t="inlineStr">
        <is>
          <t>여유</t>
        </is>
      </c>
    </row>
    <row r="19">
      <c r="A19" t="inlineStr">
        <is>
          <t>00시</t>
        </is>
      </c>
      <c r="B19" s="15" t="n">
        <v>0.5</v>
      </c>
      <c r="C19" s="15" t="n">
        <v>0.1</v>
      </c>
      <c r="D19" s="15" t="n">
        <v>1.1</v>
      </c>
      <c r="E19" s="15" t="n">
        <v>0.4</v>
      </c>
      <c r="F19" s="20" t="n">
        <v>2</v>
      </c>
      <c r="G19" s="22" t="n">
        <v>1</v>
      </c>
      <c r="H19" s="26" t="n">
        <v>8</v>
      </c>
      <c r="I19" s="26" t="n">
        <v>8</v>
      </c>
      <c r="J19" s="8" t="n">
        <v>25</v>
      </c>
      <c r="K19" s="27" t="inlineStr">
        <is>
          <t>여유</t>
        </is>
      </c>
    </row>
    <row r="20">
      <c r="A20" t="inlineStr">
        <is>
          <t>01시</t>
        </is>
      </c>
      <c r="B20" s="15" t="n">
        <v>0.3</v>
      </c>
      <c r="C20" s="15" t="n">
        <v>0.1</v>
      </c>
      <c r="D20" s="15" t="n">
        <v>0.8</v>
      </c>
      <c r="E20" s="15" t="n">
        <v>0.2</v>
      </c>
      <c r="F20" s="20" t="n">
        <v>1.5</v>
      </c>
      <c r="G20" s="22" t="n">
        <v>1</v>
      </c>
      <c r="H20" s="26" t="n">
        <v>8</v>
      </c>
      <c r="I20" s="26" t="n">
        <v>8</v>
      </c>
      <c r="J20" s="8" t="n">
        <v>18.3</v>
      </c>
      <c r="K20" s="27" t="inlineStr">
        <is>
          <t>여유</t>
        </is>
      </c>
    </row>
    <row r="21">
      <c r="A21" t="inlineStr">
        <is>
          <t>02시</t>
        </is>
      </c>
      <c r="B21" s="15" t="n">
        <v>0.2</v>
      </c>
      <c r="C21" s="15" t="n">
        <v>0</v>
      </c>
      <c r="D21" s="15" t="n">
        <v>0.6</v>
      </c>
      <c r="E21" s="15" t="n">
        <v>0.1</v>
      </c>
      <c r="F21" s="20" t="n">
        <v>0.9</v>
      </c>
      <c r="G21" s="22" t="n">
        <v>1</v>
      </c>
      <c r="H21" s="26" t="n">
        <v>8</v>
      </c>
      <c r="I21" s="26" t="n">
        <v>8</v>
      </c>
      <c r="J21" s="8" t="n">
        <v>11.8</v>
      </c>
      <c r="K21" s="27" t="inlineStr">
        <is>
          <t>여유</t>
        </is>
      </c>
    </row>
    <row r="22">
      <c r="A22" t="inlineStr">
        <is>
          <t>03시</t>
        </is>
      </c>
      <c r="B22" s="15" t="n">
        <v>0.1</v>
      </c>
      <c r="C22" s="15" t="n">
        <v>0</v>
      </c>
      <c r="D22" s="15" t="n">
        <v>0.3</v>
      </c>
      <c r="E22" s="15" t="n">
        <v>0.1</v>
      </c>
      <c r="F22" s="20" t="n">
        <v>0.5</v>
      </c>
      <c r="G22" s="22" t="n">
        <v>1</v>
      </c>
      <c r="H22" s="26" t="n">
        <v>8</v>
      </c>
      <c r="I22" s="26" t="n">
        <v>8</v>
      </c>
      <c r="J22" s="8" t="n">
        <v>6.4</v>
      </c>
      <c r="K22" s="27" t="inlineStr">
        <is>
          <t>여유</t>
        </is>
      </c>
    </row>
    <row r="23">
      <c r="A23" t="inlineStr">
        <is>
          <t>04시</t>
        </is>
      </c>
      <c r="B23" s="15" t="n">
        <v>0.1</v>
      </c>
      <c r="C23" s="15" t="n">
        <v>0</v>
      </c>
      <c r="D23" s="15" t="n">
        <v>0.2</v>
      </c>
      <c r="E23" s="15" t="n">
        <v>0</v>
      </c>
      <c r="F23" s="20" t="n">
        <v>0.3</v>
      </c>
      <c r="G23" s="22" t="n">
        <v>1</v>
      </c>
      <c r="H23" s="26" t="n">
        <v>8</v>
      </c>
      <c r="I23" s="26" t="n">
        <v>8</v>
      </c>
      <c r="J23" s="8" t="n">
        <v>3.3</v>
      </c>
      <c r="K23" s="27" t="inlineStr">
        <is>
          <t>여유</t>
        </is>
      </c>
    </row>
    <row r="24">
      <c r="A24" t="inlineStr">
        <is>
          <t>05시</t>
        </is>
      </c>
      <c r="B24" s="15" t="n">
        <v>0.1</v>
      </c>
      <c r="C24" s="15" t="n">
        <v>0</v>
      </c>
      <c r="D24" s="15" t="n">
        <v>0.1</v>
      </c>
      <c r="E24" s="15" t="n">
        <v>0</v>
      </c>
      <c r="F24" s="20" t="n">
        <v>0.2</v>
      </c>
      <c r="G24" s="22" t="n">
        <v>1</v>
      </c>
      <c r="H24" s="26" t="n">
        <v>8</v>
      </c>
      <c r="I24" s="26" t="n">
        <v>8</v>
      </c>
      <c r="J24" s="8" t="n">
        <v>2.5</v>
      </c>
      <c r="K24" s="27" t="inlineStr">
        <is>
          <t>여유</t>
        </is>
      </c>
    </row>
    <row r="25">
      <c r="A25" t="inlineStr">
        <is>
          <t>06시</t>
        </is>
      </c>
      <c r="B25" s="15" t="n">
        <v>0.1</v>
      </c>
      <c r="C25" s="15" t="n">
        <v>0.1</v>
      </c>
      <c r="D25" s="15" t="n">
        <v>0</v>
      </c>
      <c r="E25" s="15" t="n">
        <v>0</v>
      </c>
      <c r="F25" s="20" t="n">
        <v>0.3</v>
      </c>
      <c r="G25" s="22" t="n">
        <v>1</v>
      </c>
      <c r="H25" s="26" t="n">
        <v>8</v>
      </c>
      <c r="I25" s="26" t="n">
        <v>8</v>
      </c>
      <c r="J25" s="8" t="n">
        <v>3.3</v>
      </c>
      <c r="K25" s="27" t="inlineStr">
        <is>
          <t>여유</t>
        </is>
      </c>
    </row>
    <row r="28">
      <c r="A28" s="12" t="inlineStr">
        <is>
          <t>2단계 6개월 — 월매출 7,000만 원</t>
        </is>
      </c>
    </row>
    <row r="29">
      <c r="A29" s="13" t="inlineStr">
        <is>
          <t>시간</t>
        </is>
      </c>
      <c r="B29" s="13" t="inlineStr">
        <is>
          <t>김치찜</t>
        </is>
      </c>
      <c r="C29" s="13" t="inlineStr">
        <is>
          <t>제육덮밥</t>
        </is>
      </c>
      <c r="D29" s="13" t="inlineStr">
        <is>
          <t>닭발</t>
        </is>
      </c>
      <c r="E29" s="13" t="inlineStr">
        <is>
          <t>곱도리탕</t>
        </is>
      </c>
      <c r="F29" s="13" t="inlineStr">
        <is>
          <t>총 주문</t>
        </is>
      </c>
      <c r="G29" s="13" t="inlineStr">
        <is>
          <t>근무 인원(사장 포함)</t>
        </is>
      </c>
      <c r="H29" s="13" t="inlineStr">
        <is>
          <t>처리 가능(인력)</t>
        </is>
      </c>
      <c r="I29" s="13" t="inlineStr">
        <is>
          <t>처리 가능(최종)</t>
        </is>
      </c>
      <c r="J29" s="13" t="inlineStr">
        <is>
          <t>가동률</t>
        </is>
      </c>
      <c r="K29" s="13" t="inlineStr">
        <is>
          <t>판정</t>
        </is>
      </c>
    </row>
    <row r="30">
      <c r="A30" t="inlineStr">
        <is>
          <t>10시</t>
        </is>
      </c>
      <c r="B30" s="15" t="n">
        <v>0.3</v>
      </c>
      <c r="C30" s="15" t="n">
        <v>0.6</v>
      </c>
      <c r="D30" s="15" t="n">
        <v>0</v>
      </c>
      <c r="E30" s="15" t="n">
        <v>0.1</v>
      </c>
      <c r="F30" s="20" t="n">
        <v>1</v>
      </c>
      <c r="G30" s="22" t="n">
        <v>1</v>
      </c>
      <c r="H30" s="26" t="n">
        <v>8</v>
      </c>
      <c r="I30" s="26" t="n">
        <v>8</v>
      </c>
      <c r="J30" s="8" t="n">
        <v>12.4</v>
      </c>
      <c r="K30" s="27" t="inlineStr">
        <is>
          <t>여유</t>
        </is>
      </c>
    </row>
    <row r="31">
      <c r="A31" t="inlineStr">
        <is>
          <t>11시</t>
        </is>
      </c>
      <c r="B31" s="15" t="n">
        <v>1</v>
      </c>
      <c r="C31" s="15" t="n">
        <v>2.3</v>
      </c>
      <c r="D31" s="15" t="n">
        <v>0</v>
      </c>
      <c r="E31" s="15" t="n">
        <v>0.1</v>
      </c>
      <c r="F31" s="20" t="n">
        <v>3.5</v>
      </c>
      <c r="G31" s="22" t="n">
        <v>2</v>
      </c>
      <c r="H31" s="26" t="n">
        <v>16</v>
      </c>
      <c r="I31" s="26" t="n">
        <v>16</v>
      </c>
      <c r="J31" s="8" t="n">
        <v>21.9</v>
      </c>
      <c r="K31" s="27" t="inlineStr">
        <is>
          <t>여유</t>
        </is>
      </c>
    </row>
    <row r="32">
      <c r="A32" t="inlineStr">
        <is>
          <t>12시</t>
        </is>
      </c>
      <c r="B32" s="15" t="n">
        <v>3</v>
      </c>
      <c r="C32" s="15" t="n">
        <v>6.5</v>
      </c>
      <c r="D32" s="15" t="n">
        <v>0.2</v>
      </c>
      <c r="E32" s="15" t="n">
        <v>0.4</v>
      </c>
      <c r="F32" s="20" t="n">
        <v>10.1</v>
      </c>
      <c r="G32" s="22" t="n">
        <v>2</v>
      </c>
      <c r="H32" s="26" t="n">
        <v>16</v>
      </c>
      <c r="I32" s="26" t="n">
        <v>16</v>
      </c>
      <c r="J32" s="8" t="n">
        <v>63</v>
      </c>
      <c r="K32" s="27" t="inlineStr">
        <is>
          <t>여유</t>
        </is>
      </c>
    </row>
    <row r="33">
      <c r="A33" t="inlineStr">
        <is>
          <t>13시</t>
        </is>
      </c>
      <c r="B33" s="15" t="n">
        <v>2</v>
      </c>
      <c r="C33" s="15" t="n">
        <v>4.1</v>
      </c>
      <c r="D33" s="15" t="n">
        <v>0.2</v>
      </c>
      <c r="E33" s="15" t="n">
        <v>0.3</v>
      </c>
      <c r="F33" s="20" t="n">
        <v>6.6</v>
      </c>
      <c r="G33" s="22" t="n">
        <v>2</v>
      </c>
      <c r="H33" s="26" t="n">
        <v>16</v>
      </c>
      <c r="I33" s="26" t="n">
        <v>16</v>
      </c>
      <c r="J33" s="8" t="n">
        <v>41.1</v>
      </c>
      <c r="K33" s="27" t="inlineStr">
        <is>
          <t>여유</t>
        </is>
      </c>
    </row>
    <row r="34">
      <c r="A34" t="inlineStr">
        <is>
          <t>14시</t>
        </is>
      </c>
      <c r="B34" s="15" t="n">
        <v>1</v>
      </c>
      <c r="C34" s="15" t="n">
        <v>1.5</v>
      </c>
      <c r="D34" s="15" t="n">
        <v>0.2</v>
      </c>
      <c r="E34" s="15" t="n">
        <v>0.1</v>
      </c>
      <c r="F34" s="20" t="n">
        <v>2.8</v>
      </c>
      <c r="G34" s="22" t="n">
        <v>2</v>
      </c>
      <c r="H34" s="26" t="n">
        <v>16</v>
      </c>
      <c r="I34" s="26" t="n">
        <v>16</v>
      </c>
      <c r="J34" s="8" t="n">
        <v>17.4</v>
      </c>
      <c r="K34" s="27" t="inlineStr">
        <is>
          <t>여유</t>
        </is>
      </c>
    </row>
    <row r="35">
      <c r="A35" t="inlineStr">
        <is>
          <t>15시</t>
        </is>
      </c>
      <c r="B35" s="15" t="n">
        <v>0.7</v>
      </c>
      <c r="C35" s="15" t="n">
        <v>0.9</v>
      </c>
      <c r="D35" s="15" t="n">
        <v>0.2</v>
      </c>
      <c r="E35" s="15" t="n">
        <v>0.1</v>
      </c>
      <c r="F35" s="20" t="n">
        <v>1.9</v>
      </c>
      <c r="G35" s="22" t="n">
        <v>2</v>
      </c>
      <c r="H35" s="26" t="n">
        <v>16</v>
      </c>
      <c r="I35" s="26" t="n">
        <v>16</v>
      </c>
      <c r="J35" s="8" t="n">
        <v>11.6</v>
      </c>
      <c r="K35" s="27" t="inlineStr">
        <is>
          <t>여유</t>
        </is>
      </c>
    </row>
    <row r="36">
      <c r="A36" t="inlineStr">
        <is>
          <t>16시</t>
        </is>
      </c>
      <c r="B36" s="15" t="n">
        <v>1</v>
      </c>
      <c r="C36" s="15" t="n">
        <v>0.9</v>
      </c>
      <c r="D36" s="15" t="n">
        <v>0.3</v>
      </c>
      <c r="E36" s="15" t="n">
        <v>0.4</v>
      </c>
      <c r="F36" s="20" t="n">
        <v>2.6</v>
      </c>
      <c r="G36" s="22" t="n">
        <v>1</v>
      </c>
      <c r="H36" s="26" t="n">
        <v>8</v>
      </c>
      <c r="I36" s="26" t="n">
        <v>8</v>
      </c>
      <c r="J36" s="8" t="n">
        <v>33.1</v>
      </c>
      <c r="K36" s="27" t="inlineStr">
        <is>
          <t>여유</t>
        </is>
      </c>
    </row>
    <row r="37">
      <c r="A37" t="inlineStr">
        <is>
          <t>17시</t>
        </is>
      </c>
      <c r="B37" s="15" t="n">
        <v>2.4</v>
      </c>
      <c r="C37" s="15" t="n">
        <v>2.1</v>
      </c>
      <c r="D37" s="15" t="n">
        <v>0.7</v>
      </c>
      <c r="E37" s="15" t="n">
        <v>1.1</v>
      </c>
      <c r="F37" s="20" t="n">
        <v>6.2</v>
      </c>
      <c r="G37" s="22" t="n">
        <v>3</v>
      </c>
      <c r="H37" s="26" t="n">
        <v>24</v>
      </c>
      <c r="I37" s="26" t="n">
        <v>24</v>
      </c>
      <c r="J37" s="8" t="n">
        <v>25.9</v>
      </c>
      <c r="K37" s="27" t="inlineStr">
        <is>
          <t>여유</t>
        </is>
      </c>
    </row>
    <row r="38">
      <c r="A38" t="inlineStr">
        <is>
          <t>18시</t>
        </is>
      </c>
      <c r="B38" s="15" t="n">
        <v>5.4</v>
      </c>
      <c r="C38" s="15" t="n">
        <v>3.8</v>
      </c>
      <c r="D38" s="15" t="n">
        <v>1.3</v>
      </c>
      <c r="E38" s="15" t="n">
        <v>2.3</v>
      </c>
      <c r="F38" s="20" t="n">
        <v>12.8</v>
      </c>
      <c r="G38" s="22" t="n">
        <v>3</v>
      </c>
      <c r="H38" s="26" t="n">
        <v>24</v>
      </c>
      <c r="I38" s="26" t="n">
        <v>24</v>
      </c>
      <c r="J38" s="8" t="n">
        <v>53.3</v>
      </c>
      <c r="K38" s="27" t="inlineStr">
        <is>
          <t>여유</t>
        </is>
      </c>
    </row>
    <row r="39">
      <c r="A39" t="inlineStr">
        <is>
          <t>19시</t>
        </is>
      </c>
      <c r="B39" s="15" t="n">
        <v>6.1</v>
      </c>
      <c r="C39" s="15" t="n">
        <v>3.5</v>
      </c>
      <c r="D39" s="15" t="n">
        <v>1.8</v>
      </c>
      <c r="E39" s="15" t="n">
        <v>2.7</v>
      </c>
      <c r="F39" s="20" t="n">
        <v>14.1</v>
      </c>
      <c r="G39" s="22" t="n">
        <v>3</v>
      </c>
      <c r="H39" s="26" t="n">
        <v>24</v>
      </c>
      <c r="I39" s="26" t="n">
        <v>24</v>
      </c>
      <c r="J39" s="8" t="n">
        <v>58.7</v>
      </c>
      <c r="K39" s="27" t="inlineStr">
        <is>
          <t>여유</t>
        </is>
      </c>
    </row>
    <row r="40">
      <c r="A40" t="inlineStr">
        <is>
          <t>20시</t>
        </is>
      </c>
      <c r="B40" s="15" t="n">
        <v>4</v>
      </c>
      <c r="C40" s="15" t="n">
        <v>2.1</v>
      </c>
      <c r="D40" s="15" t="n">
        <v>2.1</v>
      </c>
      <c r="E40" s="15" t="n">
        <v>2.3</v>
      </c>
      <c r="F40" s="20" t="n">
        <v>10.5</v>
      </c>
      <c r="G40" s="22" t="n">
        <v>2</v>
      </c>
      <c r="H40" s="26" t="n">
        <v>16</v>
      </c>
      <c r="I40" s="26" t="n">
        <v>16</v>
      </c>
      <c r="J40" s="8" t="n">
        <v>65.59999999999999</v>
      </c>
      <c r="K40" s="27" t="inlineStr">
        <is>
          <t>여유</t>
        </is>
      </c>
    </row>
    <row r="41">
      <c r="A41" t="inlineStr">
        <is>
          <t>21시</t>
        </is>
      </c>
      <c r="B41" s="15" t="n">
        <v>2.7</v>
      </c>
      <c r="C41" s="15" t="n">
        <v>0.9</v>
      </c>
      <c r="D41" s="15" t="n">
        <v>2.5</v>
      </c>
      <c r="E41" s="15" t="n">
        <v>1.6</v>
      </c>
      <c r="F41" s="20" t="n">
        <v>7.6</v>
      </c>
      <c r="G41" s="22" t="n">
        <v>3</v>
      </c>
      <c r="H41" s="26" t="n">
        <v>24</v>
      </c>
      <c r="I41" s="26" t="n">
        <v>24</v>
      </c>
      <c r="J41" s="8" t="n">
        <v>31.7</v>
      </c>
      <c r="K41" s="27" t="inlineStr">
        <is>
          <t>여유</t>
        </is>
      </c>
    </row>
    <row r="42">
      <c r="A42" t="inlineStr">
        <is>
          <t>22시</t>
        </is>
      </c>
      <c r="B42" s="15" t="n">
        <v>2</v>
      </c>
      <c r="C42" s="15" t="n">
        <v>0.6</v>
      </c>
      <c r="D42" s="15" t="n">
        <v>2.6</v>
      </c>
      <c r="E42" s="15" t="n">
        <v>1.1</v>
      </c>
      <c r="F42" s="20" t="n">
        <v>6.4</v>
      </c>
      <c r="G42" s="22" t="n">
        <v>3</v>
      </c>
      <c r="H42" s="26" t="n">
        <v>24</v>
      </c>
      <c r="I42" s="26" t="n">
        <v>24</v>
      </c>
      <c r="J42" s="8" t="n">
        <v>26.5</v>
      </c>
      <c r="K42" s="27" t="inlineStr">
        <is>
          <t>여유</t>
        </is>
      </c>
    </row>
    <row r="43">
      <c r="A43" t="inlineStr">
        <is>
          <t>23시</t>
        </is>
      </c>
      <c r="B43" s="15" t="n">
        <v>1.3</v>
      </c>
      <c r="C43" s="15" t="n">
        <v>0.3</v>
      </c>
      <c r="D43" s="15" t="n">
        <v>2.3</v>
      </c>
      <c r="E43" s="15" t="n">
        <v>0.9</v>
      </c>
      <c r="F43" s="20" t="n">
        <v>4.8</v>
      </c>
      <c r="G43" s="22" t="n">
        <v>1</v>
      </c>
      <c r="H43" s="26" t="n">
        <v>8</v>
      </c>
      <c r="I43" s="26" t="n">
        <v>8</v>
      </c>
      <c r="J43" s="8" t="n">
        <v>59.9</v>
      </c>
      <c r="K43" s="27" t="inlineStr">
        <is>
          <t>여유</t>
        </is>
      </c>
    </row>
    <row r="44">
      <c r="A44" t="inlineStr">
        <is>
          <t>00시</t>
        </is>
      </c>
      <c r="B44" s="15" t="n">
        <v>1</v>
      </c>
      <c r="C44" s="15" t="n">
        <v>0.1</v>
      </c>
      <c r="D44" s="15" t="n">
        <v>2.1</v>
      </c>
      <c r="E44" s="15" t="n">
        <v>0.7</v>
      </c>
      <c r="F44" s="20" t="n">
        <v>4</v>
      </c>
      <c r="G44" s="22" t="n">
        <v>1</v>
      </c>
      <c r="H44" s="26" t="n">
        <v>8</v>
      </c>
      <c r="I44" s="26" t="n">
        <v>8</v>
      </c>
      <c r="J44" s="8" t="n">
        <v>50</v>
      </c>
      <c r="K44" s="27" t="inlineStr">
        <is>
          <t>여유</t>
        </is>
      </c>
    </row>
    <row r="45">
      <c r="A45" t="inlineStr">
        <is>
          <t>01시</t>
        </is>
      </c>
      <c r="B45" s="15" t="n">
        <v>0.7</v>
      </c>
      <c r="C45" s="15" t="n">
        <v>0.1</v>
      </c>
      <c r="D45" s="15" t="n">
        <v>1.6</v>
      </c>
      <c r="E45" s="15" t="n">
        <v>0.5</v>
      </c>
      <c r="F45" s="20" t="n">
        <v>2.9</v>
      </c>
      <c r="G45" s="22" t="n">
        <v>1</v>
      </c>
      <c r="H45" s="26" t="n">
        <v>8</v>
      </c>
      <c r="I45" s="26" t="n">
        <v>8</v>
      </c>
      <c r="J45" s="8" t="n">
        <v>36.6</v>
      </c>
      <c r="K45" s="27" t="inlineStr">
        <is>
          <t>여유</t>
        </is>
      </c>
    </row>
    <row r="46">
      <c r="A46" t="inlineStr">
        <is>
          <t>02시</t>
        </is>
      </c>
      <c r="B46" s="15" t="n">
        <v>0.4</v>
      </c>
      <c r="C46" s="15" t="n">
        <v>0.1</v>
      </c>
      <c r="D46" s="15" t="n">
        <v>1.1</v>
      </c>
      <c r="E46" s="15" t="n">
        <v>0.3</v>
      </c>
      <c r="F46" s="20" t="n">
        <v>1.9</v>
      </c>
      <c r="G46" s="22" t="n">
        <v>1</v>
      </c>
      <c r="H46" s="26" t="n">
        <v>8</v>
      </c>
      <c r="I46" s="26" t="n">
        <v>8</v>
      </c>
      <c r="J46" s="8" t="n">
        <v>23.7</v>
      </c>
      <c r="K46" s="27" t="inlineStr">
        <is>
          <t>여유</t>
        </is>
      </c>
    </row>
    <row r="47">
      <c r="A47" t="inlineStr">
        <is>
          <t>03시</t>
        </is>
      </c>
      <c r="B47" s="15" t="n">
        <v>0.2</v>
      </c>
      <c r="C47" s="15" t="n">
        <v>0</v>
      </c>
      <c r="D47" s="15" t="n">
        <v>0.7</v>
      </c>
      <c r="E47" s="15" t="n">
        <v>0.1</v>
      </c>
      <c r="F47" s="20" t="n">
        <v>1</v>
      </c>
      <c r="G47" s="22" t="n">
        <v>1</v>
      </c>
      <c r="H47" s="26" t="n">
        <v>8</v>
      </c>
      <c r="I47" s="26" t="n">
        <v>8</v>
      </c>
      <c r="J47" s="8" t="n">
        <v>12.9</v>
      </c>
      <c r="K47" s="27" t="inlineStr">
        <is>
          <t>여유</t>
        </is>
      </c>
    </row>
    <row r="48">
      <c r="A48" t="inlineStr">
        <is>
          <t>04시</t>
        </is>
      </c>
      <c r="B48" s="15" t="n">
        <v>0.1</v>
      </c>
      <c r="C48" s="15" t="n">
        <v>0</v>
      </c>
      <c r="D48" s="15" t="n">
        <v>0.3</v>
      </c>
      <c r="E48" s="15" t="n">
        <v>0.1</v>
      </c>
      <c r="F48" s="20" t="n">
        <v>0.5</v>
      </c>
      <c r="G48" s="22" t="n">
        <v>1</v>
      </c>
      <c r="H48" s="26" t="n">
        <v>8</v>
      </c>
      <c r="I48" s="26" t="n">
        <v>8</v>
      </c>
      <c r="J48" s="8" t="n">
        <v>6.6</v>
      </c>
      <c r="K48" s="27" t="inlineStr">
        <is>
          <t>여유</t>
        </is>
      </c>
    </row>
    <row r="49">
      <c r="A49" t="inlineStr">
        <is>
          <t>05시</t>
        </is>
      </c>
      <c r="B49" s="15" t="n">
        <v>0.1</v>
      </c>
      <c r="C49" s="15" t="n">
        <v>0.1</v>
      </c>
      <c r="D49" s="15" t="n">
        <v>0.2</v>
      </c>
      <c r="E49" s="15" t="n">
        <v>0</v>
      </c>
      <c r="F49" s="20" t="n">
        <v>0.4</v>
      </c>
      <c r="G49" s="22" t="n">
        <v>1</v>
      </c>
      <c r="H49" s="26" t="n">
        <v>8</v>
      </c>
      <c r="I49" s="26" t="n">
        <v>8</v>
      </c>
      <c r="J49" s="8" t="n">
        <v>4.9</v>
      </c>
      <c r="K49" s="27" t="inlineStr">
        <is>
          <t>여유</t>
        </is>
      </c>
    </row>
    <row r="50">
      <c r="A50" t="inlineStr">
        <is>
          <t>06시</t>
        </is>
      </c>
      <c r="B50" s="15" t="n">
        <v>0.2</v>
      </c>
      <c r="C50" s="15" t="n">
        <v>0.2</v>
      </c>
      <c r="D50" s="15" t="n">
        <v>0.1</v>
      </c>
      <c r="E50" s="15" t="n">
        <v>0</v>
      </c>
      <c r="F50" s="20" t="n">
        <v>0.5</v>
      </c>
      <c r="G50" s="22" t="n">
        <v>1</v>
      </c>
      <c r="H50" s="26" t="n">
        <v>8</v>
      </c>
      <c r="I50" s="26" t="n">
        <v>8</v>
      </c>
      <c r="J50" s="8" t="n">
        <v>6.6</v>
      </c>
      <c r="K50" s="27" t="inlineStr">
        <is>
          <t>여유</t>
        </is>
      </c>
    </row>
    <row r="53">
      <c r="A53" s="12" t="inlineStr">
        <is>
          <t>3단계 12개월 — 월매출 1억 원</t>
        </is>
      </c>
    </row>
    <row r="54">
      <c r="A54" s="13" t="inlineStr">
        <is>
          <t>시간</t>
        </is>
      </c>
      <c r="B54" s="13" t="inlineStr">
        <is>
          <t>김치찜</t>
        </is>
      </c>
      <c r="C54" s="13" t="inlineStr">
        <is>
          <t>제육덮밥</t>
        </is>
      </c>
      <c r="D54" s="13" t="inlineStr">
        <is>
          <t>닭발</t>
        </is>
      </c>
      <c r="E54" s="13" t="inlineStr">
        <is>
          <t>곱도리탕</t>
        </is>
      </c>
      <c r="F54" s="13" t="inlineStr">
        <is>
          <t>총 주문</t>
        </is>
      </c>
      <c r="G54" s="13" t="inlineStr">
        <is>
          <t>근무 인원(사장 포함)</t>
        </is>
      </c>
      <c r="H54" s="13" t="inlineStr">
        <is>
          <t>처리 가능(인력)</t>
        </is>
      </c>
      <c r="I54" s="13" t="inlineStr">
        <is>
          <t>처리 가능(최종)</t>
        </is>
      </c>
      <c r="J54" s="13" t="inlineStr">
        <is>
          <t>가동률</t>
        </is>
      </c>
      <c r="K54" s="13" t="inlineStr">
        <is>
          <t>판정</t>
        </is>
      </c>
    </row>
    <row r="55">
      <c r="A55" t="inlineStr">
        <is>
          <t>10시</t>
        </is>
      </c>
      <c r="B55" s="15" t="n">
        <v>0.5</v>
      </c>
      <c r="C55" s="15" t="n">
        <v>0.8</v>
      </c>
      <c r="D55" s="15" t="n">
        <v>0</v>
      </c>
      <c r="E55" s="15" t="n">
        <v>0.1</v>
      </c>
      <c r="F55" s="20" t="n">
        <v>1.4</v>
      </c>
      <c r="G55" s="22" t="n">
        <v>2</v>
      </c>
      <c r="H55" s="26" t="n">
        <v>16</v>
      </c>
      <c r="I55" s="26" t="n">
        <v>16</v>
      </c>
      <c r="J55" s="8" t="n">
        <v>8.9</v>
      </c>
      <c r="K55" s="27" t="inlineStr">
        <is>
          <t>여유</t>
        </is>
      </c>
    </row>
    <row r="56">
      <c r="A56" t="inlineStr">
        <is>
          <t>11시</t>
        </is>
      </c>
      <c r="B56" s="15" t="n">
        <v>1.4</v>
      </c>
      <c r="C56" s="15" t="n">
        <v>3.4</v>
      </c>
      <c r="D56" s="15" t="n">
        <v>0</v>
      </c>
      <c r="E56" s="15" t="n">
        <v>0.2</v>
      </c>
      <c r="F56" s="20" t="n">
        <v>5</v>
      </c>
      <c r="G56" s="22" t="n">
        <v>4</v>
      </c>
      <c r="H56" s="26" t="n">
        <v>32</v>
      </c>
      <c r="I56" s="26" t="n">
        <v>32</v>
      </c>
      <c r="J56" s="8" t="n">
        <v>15.6</v>
      </c>
      <c r="K56" s="27" t="inlineStr">
        <is>
          <t>여유</t>
        </is>
      </c>
    </row>
    <row r="57">
      <c r="A57" t="inlineStr">
        <is>
          <t>12시</t>
        </is>
      </c>
      <c r="B57" s="15" t="n">
        <v>4.3</v>
      </c>
      <c r="C57" s="15" t="n">
        <v>9.199999999999999</v>
      </c>
      <c r="D57" s="15" t="n">
        <v>0.2</v>
      </c>
      <c r="E57" s="15" t="n">
        <v>0.6</v>
      </c>
      <c r="F57" s="20" t="n">
        <v>14.4</v>
      </c>
      <c r="G57" s="22" t="n">
        <v>4</v>
      </c>
      <c r="H57" s="26" t="n">
        <v>32</v>
      </c>
      <c r="I57" s="26" t="n">
        <v>32</v>
      </c>
      <c r="J57" s="8" t="n">
        <v>45</v>
      </c>
      <c r="K57" s="27" t="inlineStr">
        <is>
          <t>여유</t>
        </is>
      </c>
    </row>
    <row r="58">
      <c r="A58" t="inlineStr">
        <is>
          <t>13시</t>
        </is>
      </c>
      <c r="B58" s="15" t="n">
        <v>2.9</v>
      </c>
      <c r="C58" s="15" t="n">
        <v>5.9</v>
      </c>
      <c r="D58" s="15" t="n">
        <v>0.2</v>
      </c>
      <c r="E58" s="15" t="n">
        <v>0.4</v>
      </c>
      <c r="F58" s="20" t="n">
        <v>9.4</v>
      </c>
      <c r="G58" s="22" t="n">
        <v>3</v>
      </c>
      <c r="H58" s="26" t="n">
        <v>24</v>
      </c>
      <c r="I58" s="26" t="n">
        <v>24</v>
      </c>
      <c r="J58" s="8" t="n">
        <v>39.2</v>
      </c>
      <c r="K58" s="27" t="inlineStr">
        <is>
          <t>여유</t>
        </is>
      </c>
    </row>
    <row r="59">
      <c r="A59" t="inlineStr">
        <is>
          <t>14시</t>
        </is>
      </c>
      <c r="B59" s="15" t="n">
        <v>1.4</v>
      </c>
      <c r="C59" s="15" t="n">
        <v>2.1</v>
      </c>
      <c r="D59" s="15" t="n">
        <v>0.2</v>
      </c>
      <c r="E59" s="15" t="n">
        <v>0.2</v>
      </c>
      <c r="F59" s="20" t="n">
        <v>4</v>
      </c>
      <c r="G59" s="22" t="n">
        <v>3</v>
      </c>
      <c r="H59" s="26" t="n">
        <v>24</v>
      </c>
      <c r="I59" s="26" t="n">
        <v>24</v>
      </c>
      <c r="J59" s="8" t="n">
        <v>16.6</v>
      </c>
      <c r="K59" s="27" t="inlineStr">
        <is>
          <t>여유</t>
        </is>
      </c>
    </row>
    <row r="60">
      <c r="A60" t="inlineStr">
        <is>
          <t>15시</t>
        </is>
      </c>
      <c r="B60" s="15" t="n">
        <v>1</v>
      </c>
      <c r="C60" s="15" t="n">
        <v>1.3</v>
      </c>
      <c r="D60" s="15" t="n">
        <v>0.2</v>
      </c>
      <c r="E60" s="15" t="n">
        <v>0.2</v>
      </c>
      <c r="F60" s="20" t="n">
        <v>2.7</v>
      </c>
      <c r="G60" s="22" t="n">
        <v>3</v>
      </c>
      <c r="H60" s="26" t="n">
        <v>24</v>
      </c>
      <c r="I60" s="26" t="n">
        <v>24</v>
      </c>
      <c r="J60" s="8" t="n">
        <v>11.1</v>
      </c>
      <c r="K60" s="27" t="inlineStr">
        <is>
          <t>여유</t>
        </is>
      </c>
    </row>
    <row r="61">
      <c r="A61" t="inlineStr">
        <is>
          <t>16시</t>
        </is>
      </c>
      <c r="B61" s="15" t="n">
        <v>1.4</v>
      </c>
      <c r="C61" s="15" t="n">
        <v>1.3</v>
      </c>
      <c r="D61" s="15" t="n">
        <v>0.5</v>
      </c>
      <c r="E61" s="15" t="n">
        <v>0.6</v>
      </c>
      <c r="F61" s="20" t="n">
        <v>3.8</v>
      </c>
      <c r="G61" s="22" t="n">
        <v>1</v>
      </c>
      <c r="H61" s="26" t="n">
        <v>8</v>
      </c>
      <c r="I61" s="26" t="n">
        <v>8</v>
      </c>
      <c r="J61" s="8" t="n">
        <v>47.2</v>
      </c>
      <c r="K61" s="27" t="inlineStr">
        <is>
          <t>여유</t>
        </is>
      </c>
    </row>
    <row r="62">
      <c r="A62" t="inlineStr">
        <is>
          <t>17시</t>
        </is>
      </c>
      <c r="B62" s="15" t="n">
        <v>3.4</v>
      </c>
      <c r="C62" s="15" t="n">
        <v>2.9</v>
      </c>
      <c r="D62" s="15" t="n">
        <v>0.9</v>
      </c>
      <c r="E62" s="15" t="n">
        <v>1.6</v>
      </c>
      <c r="F62" s="20" t="n">
        <v>8.9</v>
      </c>
      <c r="G62" s="22" t="n">
        <v>3</v>
      </c>
      <c r="H62" s="26" t="n">
        <v>24</v>
      </c>
      <c r="I62" s="26" t="n">
        <v>24</v>
      </c>
      <c r="J62" s="8" t="n">
        <v>36.9</v>
      </c>
      <c r="K62" s="27" t="inlineStr">
        <is>
          <t>여유</t>
        </is>
      </c>
    </row>
    <row r="63">
      <c r="A63" t="inlineStr">
        <is>
          <t>18시</t>
        </is>
      </c>
      <c r="B63" s="15" t="n">
        <v>7.7</v>
      </c>
      <c r="C63" s="15" t="n">
        <v>5.4</v>
      </c>
      <c r="D63" s="15" t="n">
        <v>1.9</v>
      </c>
      <c r="E63" s="15" t="n">
        <v>3.2</v>
      </c>
      <c r="F63" s="20" t="n">
        <v>18.3</v>
      </c>
      <c r="G63" s="22" t="n">
        <v>3</v>
      </c>
      <c r="H63" s="26" t="n">
        <v>24</v>
      </c>
      <c r="I63" s="26" t="n">
        <v>24</v>
      </c>
      <c r="J63" s="8" t="n">
        <v>76.2</v>
      </c>
      <c r="K63" s="27" t="inlineStr">
        <is>
          <t>여유</t>
        </is>
      </c>
    </row>
    <row r="64">
      <c r="A64" t="inlineStr">
        <is>
          <t>19시</t>
        </is>
      </c>
      <c r="B64" s="15" t="n">
        <v>8.699999999999999</v>
      </c>
      <c r="C64" s="15" t="n">
        <v>5</v>
      </c>
      <c r="D64" s="15" t="n">
        <v>2.6</v>
      </c>
      <c r="E64" s="15" t="n">
        <v>3.8</v>
      </c>
      <c r="F64" s="20" t="n">
        <v>20.1</v>
      </c>
      <c r="G64" s="22" t="n">
        <v>3</v>
      </c>
      <c r="H64" s="26" t="n">
        <v>24</v>
      </c>
      <c r="I64" s="26" t="n">
        <v>24</v>
      </c>
      <c r="J64" s="8" t="n">
        <v>83.90000000000001</v>
      </c>
      <c r="K64" s="28" t="inlineStr">
        <is>
          <t>빠듯</t>
        </is>
      </c>
    </row>
    <row r="65">
      <c r="A65" t="inlineStr">
        <is>
          <t>20시</t>
        </is>
      </c>
      <c r="B65" s="15" t="n">
        <v>5.8</v>
      </c>
      <c r="C65" s="15" t="n">
        <v>2.9</v>
      </c>
      <c r="D65" s="15" t="n">
        <v>3</v>
      </c>
      <c r="E65" s="15" t="n">
        <v>3.2</v>
      </c>
      <c r="F65" s="20" t="n">
        <v>15</v>
      </c>
      <c r="G65" s="22" t="n">
        <v>2</v>
      </c>
      <c r="H65" s="26" t="n">
        <v>16</v>
      </c>
      <c r="I65" s="26" t="n">
        <v>16</v>
      </c>
      <c r="J65" s="8" t="n">
        <v>93.8</v>
      </c>
      <c r="K65" s="28" t="inlineStr">
        <is>
          <t>빠듯</t>
        </is>
      </c>
    </row>
    <row r="66">
      <c r="A66" t="inlineStr">
        <is>
          <t>21시</t>
        </is>
      </c>
      <c r="B66" s="15" t="n">
        <v>3.9</v>
      </c>
      <c r="C66" s="15" t="n">
        <v>1.3</v>
      </c>
      <c r="D66" s="15" t="n">
        <v>3.5</v>
      </c>
      <c r="E66" s="15" t="n">
        <v>2.2</v>
      </c>
      <c r="F66" s="20" t="n">
        <v>10.9</v>
      </c>
      <c r="G66" s="22" t="n">
        <v>4</v>
      </c>
      <c r="H66" s="26" t="n">
        <v>32</v>
      </c>
      <c r="I66" s="26" t="n">
        <v>32</v>
      </c>
      <c r="J66" s="8" t="n">
        <v>33.9</v>
      </c>
      <c r="K66" s="27" t="inlineStr">
        <is>
          <t>여유</t>
        </is>
      </c>
    </row>
    <row r="67">
      <c r="A67" t="inlineStr">
        <is>
          <t>22시</t>
        </is>
      </c>
      <c r="B67" s="15" t="n">
        <v>2.9</v>
      </c>
      <c r="C67" s="15" t="n">
        <v>0.8</v>
      </c>
      <c r="D67" s="15" t="n">
        <v>3.7</v>
      </c>
      <c r="E67" s="15" t="n">
        <v>1.6</v>
      </c>
      <c r="F67" s="20" t="n">
        <v>9.1</v>
      </c>
      <c r="G67" s="22" t="n">
        <v>4</v>
      </c>
      <c r="H67" s="26" t="n">
        <v>32</v>
      </c>
      <c r="I67" s="26" t="n">
        <v>32</v>
      </c>
      <c r="J67" s="8" t="n">
        <v>28.4</v>
      </c>
      <c r="K67" s="27" t="inlineStr">
        <is>
          <t>여유</t>
        </is>
      </c>
    </row>
    <row r="68">
      <c r="A68" t="inlineStr">
        <is>
          <t>23시</t>
        </is>
      </c>
      <c r="B68" s="15" t="n">
        <v>1.9</v>
      </c>
      <c r="C68" s="15" t="n">
        <v>0.4</v>
      </c>
      <c r="D68" s="15" t="n">
        <v>3.3</v>
      </c>
      <c r="E68" s="15" t="n">
        <v>1.2</v>
      </c>
      <c r="F68" s="20" t="n">
        <v>6.8</v>
      </c>
      <c r="G68" s="22" t="n">
        <v>2</v>
      </c>
      <c r="H68" s="26" t="n">
        <v>16</v>
      </c>
      <c r="I68" s="26" t="n">
        <v>16</v>
      </c>
      <c r="J68" s="8" t="n">
        <v>42.8</v>
      </c>
      <c r="K68" s="27" t="inlineStr">
        <is>
          <t>여유</t>
        </is>
      </c>
    </row>
    <row r="69">
      <c r="A69" t="inlineStr">
        <is>
          <t>00시</t>
        </is>
      </c>
      <c r="B69" s="15" t="n">
        <v>1.4</v>
      </c>
      <c r="C69" s="15" t="n">
        <v>0.2</v>
      </c>
      <c r="D69" s="15" t="n">
        <v>3</v>
      </c>
      <c r="E69" s="15" t="n">
        <v>1</v>
      </c>
      <c r="F69" s="20" t="n">
        <v>5.7</v>
      </c>
      <c r="G69" s="22" t="n">
        <v>2</v>
      </c>
      <c r="H69" s="26" t="n">
        <v>16</v>
      </c>
      <c r="I69" s="26" t="n">
        <v>16</v>
      </c>
      <c r="J69" s="8" t="n">
        <v>35.7</v>
      </c>
      <c r="K69" s="27" t="inlineStr">
        <is>
          <t>여유</t>
        </is>
      </c>
    </row>
    <row r="70">
      <c r="A70" t="inlineStr">
        <is>
          <t>01시</t>
        </is>
      </c>
      <c r="B70" s="15" t="n">
        <v>1</v>
      </c>
      <c r="C70" s="15" t="n">
        <v>0.2</v>
      </c>
      <c r="D70" s="15" t="n">
        <v>2.3</v>
      </c>
      <c r="E70" s="15" t="n">
        <v>0.7</v>
      </c>
      <c r="F70" s="20" t="n">
        <v>4.2</v>
      </c>
      <c r="G70" s="22" t="n">
        <v>2</v>
      </c>
      <c r="H70" s="26" t="n">
        <v>16</v>
      </c>
      <c r="I70" s="26" t="n">
        <v>16</v>
      </c>
      <c r="J70" s="8" t="n">
        <v>26.1</v>
      </c>
      <c r="K70" s="27" t="inlineStr">
        <is>
          <t>여유</t>
        </is>
      </c>
    </row>
    <row r="71">
      <c r="A71" t="inlineStr">
        <is>
          <t>02시</t>
        </is>
      </c>
      <c r="B71" s="15" t="n">
        <v>0.6</v>
      </c>
      <c r="C71" s="15" t="n">
        <v>0.1</v>
      </c>
      <c r="D71" s="15" t="n">
        <v>1.6</v>
      </c>
      <c r="E71" s="15" t="n">
        <v>0.4</v>
      </c>
      <c r="F71" s="20" t="n">
        <v>2.7</v>
      </c>
      <c r="G71" s="22" t="n">
        <v>2</v>
      </c>
      <c r="H71" s="26" t="n">
        <v>16</v>
      </c>
      <c r="I71" s="26" t="n">
        <v>16</v>
      </c>
      <c r="J71" s="8" t="n">
        <v>16.9</v>
      </c>
      <c r="K71" s="27" t="inlineStr">
        <is>
          <t>여유</t>
        </is>
      </c>
    </row>
    <row r="72">
      <c r="A72" t="inlineStr">
        <is>
          <t>03시</t>
        </is>
      </c>
      <c r="B72" s="15" t="n">
        <v>0.3</v>
      </c>
      <c r="C72" s="15" t="n">
        <v>0</v>
      </c>
      <c r="D72" s="15" t="n">
        <v>0.9</v>
      </c>
      <c r="E72" s="15" t="n">
        <v>0.2</v>
      </c>
      <c r="F72" s="20" t="n">
        <v>1.5</v>
      </c>
      <c r="G72" s="22" t="n">
        <v>1</v>
      </c>
      <c r="H72" s="26" t="n">
        <v>8</v>
      </c>
      <c r="I72" s="26" t="n">
        <v>8</v>
      </c>
      <c r="J72" s="8" t="n">
        <v>18.4</v>
      </c>
      <c r="K72" s="27" t="inlineStr">
        <is>
          <t>여유</t>
        </is>
      </c>
    </row>
    <row r="73">
      <c r="A73" t="inlineStr">
        <is>
          <t>04시</t>
        </is>
      </c>
      <c r="B73" s="15" t="n">
        <v>0.1</v>
      </c>
      <c r="C73" s="15" t="n">
        <v>0</v>
      </c>
      <c r="D73" s="15" t="n">
        <v>0.5</v>
      </c>
      <c r="E73" s="15" t="n">
        <v>0.1</v>
      </c>
      <c r="F73" s="20" t="n">
        <v>0.8</v>
      </c>
      <c r="G73" s="22" t="n">
        <v>1</v>
      </c>
      <c r="H73" s="26" t="n">
        <v>8</v>
      </c>
      <c r="I73" s="26" t="n">
        <v>8</v>
      </c>
      <c r="J73" s="8" t="n">
        <v>9.5</v>
      </c>
      <c r="K73" s="27" t="inlineStr">
        <is>
          <t>여유</t>
        </is>
      </c>
    </row>
    <row r="74">
      <c r="A74" t="inlineStr">
        <is>
          <t>05시</t>
        </is>
      </c>
      <c r="B74" s="15" t="n">
        <v>0.1</v>
      </c>
      <c r="C74" s="15" t="n">
        <v>0.1</v>
      </c>
      <c r="D74" s="15" t="n">
        <v>0.2</v>
      </c>
      <c r="E74" s="15" t="n">
        <v>0.1</v>
      </c>
      <c r="F74" s="20" t="n">
        <v>0.6</v>
      </c>
      <c r="G74" s="22" t="n">
        <v>1</v>
      </c>
      <c r="H74" s="26" t="n">
        <v>8</v>
      </c>
      <c r="I74" s="26" t="n">
        <v>8</v>
      </c>
      <c r="J74" s="8" t="n">
        <v>7.1</v>
      </c>
      <c r="K74" s="27" t="inlineStr">
        <is>
          <t>여유</t>
        </is>
      </c>
    </row>
    <row r="75">
      <c r="A75" t="inlineStr">
        <is>
          <t>06시</t>
        </is>
      </c>
      <c r="B75" s="15" t="n">
        <v>0.2</v>
      </c>
      <c r="C75" s="15" t="n">
        <v>0.3</v>
      </c>
      <c r="D75" s="15" t="n">
        <v>0.1</v>
      </c>
      <c r="E75" s="15" t="n">
        <v>0.1</v>
      </c>
      <c r="F75" s="20" t="n">
        <v>0.8</v>
      </c>
      <c r="G75" s="22" t="n">
        <v>1</v>
      </c>
      <c r="H75" s="26" t="n">
        <v>8</v>
      </c>
      <c r="I75" s="26" t="n">
        <v>8</v>
      </c>
      <c r="J75" s="8" t="n">
        <v>9.4</v>
      </c>
      <c r="K75" s="27" t="inlineStr">
        <is>
          <t>여유</t>
        </is>
      </c>
    </row>
    <row r="78">
      <c r="A78" s="12" t="inlineStr">
        <is>
          <t>4단계 18개월~ (목표) — 월매출 1억 5,000만 원</t>
        </is>
      </c>
    </row>
    <row r="79">
      <c r="A79" s="13" t="inlineStr">
        <is>
          <t>시간</t>
        </is>
      </c>
      <c r="B79" s="13" t="inlineStr">
        <is>
          <t>김치찜</t>
        </is>
      </c>
      <c r="C79" s="13" t="inlineStr">
        <is>
          <t>제육덮밥</t>
        </is>
      </c>
      <c r="D79" s="13" t="inlineStr">
        <is>
          <t>닭발</t>
        </is>
      </c>
      <c r="E79" s="13" t="inlineStr">
        <is>
          <t>곱도리탕</t>
        </is>
      </c>
      <c r="F79" s="13" t="inlineStr">
        <is>
          <t>총 주문</t>
        </is>
      </c>
      <c r="G79" s="13" t="inlineStr">
        <is>
          <t>근무 인원(사장 포함)</t>
        </is>
      </c>
      <c r="H79" s="13" t="inlineStr">
        <is>
          <t>처리 가능(인력)</t>
        </is>
      </c>
      <c r="I79" s="13" t="inlineStr">
        <is>
          <t>처리 가능(최종)</t>
        </is>
      </c>
      <c r="J79" s="13" t="inlineStr">
        <is>
          <t>가동률</t>
        </is>
      </c>
      <c r="K79" s="13" t="inlineStr">
        <is>
          <t>판정</t>
        </is>
      </c>
    </row>
    <row r="80">
      <c r="A80" t="inlineStr">
        <is>
          <t>10시</t>
        </is>
      </c>
      <c r="B80" s="15" t="n">
        <v>0.7</v>
      </c>
      <c r="C80" s="15" t="n">
        <v>1.3</v>
      </c>
      <c r="D80" s="15" t="n">
        <v>0</v>
      </c>
      <c r="E80" s="15" t="n">
        <v>0.2</v>
      </c>
      <c r="F80" s="20" t="n">
        <v>2.1</v>
      </c>
      <c r="G80" s="22" t="n">
        <v>3</v>
      </c>
      <c r="H80" s="26" t="n">
        <v>24</v>
      </c>
      <c r="I80" s="26" t="n">
        <v>24</v>
      </c>
      <c r="J80" s="8" t="n">
        <v>8.9</v>
      </c>
      <c r="K80" s="27" t="inlineStr">
        <is>
          <t>여유</t>
        </is>
      </c>
    </row>
    <row r="81">
      <c r="A81" t="inlineStr">
        <is>
          <t>11시</t>
        </is>
      </c>
      <c r="B81" s="15" t="n">
        <v>2.2</v>
      </c>
      <c r="C81" s="15" t="n">
        <v>5</v>
      </c>
      <c r="D81" s="15" t="n">
        <v>0</v>
      </c>
      <c r="E81" s="15" t="n">
        <v>0.3</v>
      </c>
      <c r="F81" s="20" t="n">
        <v>7.5</v>
      </c>
      <c r="G81" s="22" t="n">
        <v>5</v>
      </c>
      <c r="H81" s="26" t="n">
        <v>40</v>
      </c>
      <c r="I81" s="26" t="n">
        <v>40</v>
      </c>
      <c r="J81" s="8" t="n">
        <v>18.8</v>
      </c>
      <c r="K81" s="27" t="inlineStr">
        <is>
          <t>여유</t>
        </is>
      </c>
    </row>
    <row r="82">
      <c r="A82" t="inlineStr">
        <is>
          <t>12시</t>
        </is>
      </c>
      <c r="B82" s="15" t="n">
        <v>6.5</v>
      </c>
      <c r="C82" s="15" t="n">
        <v>13.8</v>
      </c>
      <c r="D82" s="15" t="n">
        <v>0.4</v>
      </c>
      <c r="E82" s="15" t="n">
        <v>0.9</v>
      </c>
      <c r="F82" s="20" t="n">
        <v>21.6</v>
      </c>
      <c r="G82" s="22" t="n">
        <v>5</v>
      </c>
      <c r="H82" s="26" t="n">
        <v>40</v>
      </c>
      <c r="I82" s="26" t="n">
        <v>40</v>
      </c>
      <c r="J82" s="8" t="n">
        <v>54</v>
      </c>
      <c r="K82" s="27" t="inlineStr">
        <is>
          <t>여유</t>
        </is>
      </c>
    </row>
    <row r="83">
      <c r="A83" t="inlineStr">
        <is>
          <t>13시</t>
        </is>
      </c>
      <c r="B83" s="15" t="n">
        <v>4.3</v>
      </c>
      <c r="C83" s="15" t="n">
        <v>8.800000000000001</v>
      </c>
      <c r="D83" s="15" t="n">
        <v>0.4</v>
      </c>
      <c r="E83" s="15" t="n">
        <v>0.6</v>
      </c>
      <c r="F83" s="20" t="n">
        <v>14.1</v>
      </c>
      <c r="G83" s="22" t="n">
        <v>3</v>
      </c>
      <c r="H83" s="26" t="n">
        <v>24</v>
      </c>
      <c r="I83" s="26" t="n">
        <v>24</v>
      </c>
      <c r="J83" s="8" t="n">
        <v>58.8</v>
      </c>
      <c r="K83" s="27" t="inlineStr">
        <is>
          <t>여유</t>
        </is>
      </c>
    </row>
    <row r="84">
      <c r="A84" t="inlineStr">
        <is>
          <t>14시</t>
        </is>
      </c>
      <c r="B84" s="15" t="n">
        <v>2.2</v>
      </c>
      <c r="C84" s="15" t="n">
        <v>3.1</v>
      </c>
      <c r="D84" s="15" t="n">
        <v>0.4</v>
      </c>
      <c r="E84" s="15" t="n">
        <v>0.3</v>
      </c>
      <c r="F84" s="20" t="n">
        <v>6</v>
      </c>
      <c r="G84" s="22" t="n">
        <v>3</v>
      </c>
      <c r="H84" s="26" t="n">
        <v>24</v>
      </c>
      <c r="I84" s="26" t="n">
        <v>24</v>
      </c>
      <c r="J84" s="8" t="n">
        <v>24.9</v>
      </c>
      <c r="K84" s="27" t="inlineStr">
        <is>
          <t>여유</t>
        </is>
      </c>
    </row>
    <row r="85">
      <c r="A85" t="inlineStr">
        <is>
          <t>15시</t>
        </is>
      </c>
      <c r="B85" s="15" t="n">
        <v>1.4</v>
      </c>
      <c r="C85" s="15" t="n">
        <v>1.9</v>
      </c>
      <c r="D85" s="15" t="n">
        <v>0.4</v>
      </c>
      <c r="E85" s="15" t="n">
        <v>0.3</v>
      </c>
      <c r="F85" s="20" t="n">
        <v>4</v>
      </c>
      <c r="G85" s="22" t="n">
        <v>3</v>
      </c>
      <c r="H85" s="26" t="n">
        <v>24</v>
      </c>
      <c r="I85" s="26" t="n">
        <v>24</v>
      </c>
      <c r="J85" s="8" t="n">
        <v>16.6</v>
      </c>
      <c r="K85" s="27" t="inlineStr">
        <is>
          <t>여유</t>
        </is>
      </c>
    </row>
    <row r="86">
      <c r="A86" t="inlineStr">
        <is>
          <t>16시</t>
        </is>
      </c>
      <c r="B86" s="15" t="n">
        <v>2.2</v>
      </c>
      <c r="C86" s="15" t="n">
        <v>1.9</v>
      </c>
      <c r="D86" s="15" t="n">
        <v>0.7</v>
      </c>
      <c r="E86" s="15" t="n">
        <v>0.9</v>
      </c>
      <c r="F86" s="20" t="n">
        <v>5.7</v>
      </c>
      <c r="G86" s="22" t="n">
        <v>1</v>
      </c>
      <c r="H86" s="26" t="n">
        <v>8</v>
      </c>
      <c r="I86" s="26" t="n">
        <v>8</v>
      </c>
      <c r="J86" s="8" t="n">
        <v>70.90000000000001</v>
      </c>
      <c r="K86" s="27" t="inlineStr">
        <is>
          <t>여유</t>
        </is>
      </c>
    </row>
    <row r="87">
      <c r="A87" t="inlineStr">
        <is>
          <t>17시</t>
        </is>
      </c>
      <c r="B87" s="15" t="n">
        <v>5.1</v>
      </c>
      <c r="C87" s="15" t="n">
        <v>4.4</v>
      </c>
      <c r="D87" s="15" t="n">
        <v>1.4</v>
      </c>
      <c r="E87" s="15" t="n">
        <v>2.4</v>
      </c>
      <c r="F87" s="20" t="n">
        <v>13.3</v>
      </c>
      <c r="G87" s="22" t="n">
        <v>5</v>
      </c>
      <c r="H87" s="26" t="n">
        <v>40</v>
      </c>
      <c r="I87" s="26" t="n">
        <v>40</v>
      </c>
      <c r="J87" s="8" t="n">
        <v>33.2</v>
      </c>
      <c r="K87" s="27" t="inlineStr">
        <is>
          <t>여유</t>
        </is>
      </c>
    </row>
    <row r="88">
      <c r="A88" t="inlineStr">
        <is>
          <t>18시</t>
        </is>
      </c>
      <c r="B88" s="15" t="n">
        <v>11.6</v>
      </c>
      <c r="C88" s="15" t="n">
        <v>8.199999999999999</v>
      </c>
      <c r="D88" s="15" t="n">
        <v>2.8</v>
      </c>
      <c r="E88" s="15" t="n">
        <v>4.9</v>
      </c>
      <c r="F88" s="20" t="n">
        <v>27.4</v>
      </c>
      <c r="G88" s="22" t="n">
        <v>5</v>
      </c>
      <c r="H88" s="26" t="n">
        <v>40</v>
      </c>
      <c r="I88" s="26" t="n">
        <v>40</v>
      </c>
      <c r="J88" s="8" t="n">
        <v>68.5</v>
      </c>
      <c r="K88" s="27" t="inlineStr">
        <is>
          <t>여유</t>
        </is>
      </c>
    </row>
    <row r="89">
      <c r="A89" t="inlineStr">
        <is>
          <t>19시</t>
        </is>
      </c>
      <c r="B89" s="15" t="n">
        <v>13</v>
      </c>
      <c r="C89" s="15" t="n">
        <v>7.5</v>
      </c>
      <c r="D89" s="15" t="n">
        <v>3.9</v>
      </c>
      <c r="E89" s="15" t="n">
        <v>5.8</v>
      </c>
      <c r="F89" s="20" t="n">
        <v>30.2</v>
      </c>
      <c r="G89" s="22" t="n">
        <v>5</v>
      </c>
      <c r="H89" s="26" t="n">
        <v>40</v>
      </c>
      <c r="I89" s="26" t="n">
        <v>40</v>
      </c>
      <c r="J89" s="8" t="n">
        <v>75.5</v>
      </c>
      <c r="K89" s="27" t="inlineStr">
        <is>
          <t>여유</t>
        </is>
      </c>
    </row>
    <row r="90">
      <c r="A90" t="inlineStr">
        <is>
          <t>20시</t>
        </is>
      </c>
      <c r="B90" s="15" t="n">
        <v>8.699999999999999</v>
      </c>
      <c r="C90" s="15" t="n">
        <v>4.4</v>
      </c>
      <c r="D90" s="15" t="n">
        <v>4.6</v>
      </c>
      <c r="E90" s="15" t="n">
        <v>4.9</v>
      </c>
      <c r="F90" s="20" t="n">
        <v>22.5</v>
      </c>
      <c r="G90" s="22" t="n">
        <v>4</v>
      </c>
      <c r="H90" s="26" t="n">
        <v>32</v>
      </c>
      <c r="I90" s="26" t="n">
        <v>32</v>
      </c>
      <c r="J90" s="8" t="n">
        <v>70.3</v>
      </c>
      <c r="K90" s="27" t="inlineStr">
        <is>
          <t>여유</t>
        </is>
      </c>
    </row>
    <row r="91">
      <c r="A91" t="inlineStr">
        <is>
          <t>21시</t>
        </is>
      </c>
      <c r="B91" s="15" t="n">
        <v>5.8</v>
      </c>
      <c r="C91" s="15" t="n">
        <v>1.9</v>
      </c>
      <c r="D91" s="15" t="n">
        <v>5.3</v>
      </c>
      <c r="E91" s="15" t="n">
        <v>3.3</v>
      </c>
      <c r="F91" s="20" t="n">
        <v>16.3</v>
      </c>
      <c r="G91" s="22" t="n">
        <v>6</v>
      </c>
      <c r="H91" s="26" t="n">
        <v>48</v>
      </c>
      <c r="I91" s="26" t="n">
        <v>40</v>
      </c>
      <c r="J91" s="8" t="n">
        <v>40.7</v>
      </c>
      <c r="K91" s="27" t="inlineStr">
        <is>
          <t>여유</t>
        </is>
      </c>
    </row>
    <row r="92">
      <c r="A92" t="inlineStr">
        <is>
          <t>22시</t>
        </is>
      </c>
      <c r="B92" s="15" t="n">
        <v>4.3</v>
      </c>
      <c r="C92" s="15" t="n">
        <v>1.3</v>
      </c>
      <c r="D92" s="15" t="n">
        <v>5.6</v>
      </c>
      <c r="E92" s="15" t="n">
        <v>2.4</v>
      </c>
      <c r="F92" s="20" t="n">
        <v>13.7</v>
      </c>
      <c r="G92" s="22" t="n">
        <v>6</v>
      </c>
      <c r="H92" s="26" t="n">
        <v>48</v>
      </c>
      <c r="I92" s="26" t="n">
        <v>40</v>
      </c>
      <c r="J92" s="8" t="n">
        <v>34.1</v>
      </c>
      <c r="K92" s="27" t="inlineStr">
        <is>
          <t>여유</t>
        </is>
      </c>
    </row>
    <row r="93">
      <c r="A93" t="inlineStr">
        <is>
          <t>23시</t>
        </is>
      </c>
      <c r="B93" s="15" t="n">
        <v>2.9</v>
      </c>
      <c r="C93" s="15" t="n">
        <v>0.6</v>
      </c>
      <c r="D93" s="15" t="n">
        <v>4.9</v>
      </c>
      <c r="E93" s="15" t="n">
        <v>1.8</v>
      </c>
      <c r="F93" s="20" t="n">
        <v>10.3</v>
      </c>
      <c r="G93" s="22" t="n">
        <v>2</v>
      </c>
      <c r="H93" s="26" t="n">
        <v>16</v>
      </c>
      <c r="I93" s="26" t="n">
        <v>16</v>
      </c>
      <c r="J93" s="8" t="n">
        <v>64.2</v>
      </c>
      <c r="K93" s="27" t="inlineStr">
        <is>
          <t>여유</t>
        </is>
      </c>
    </row>
    <row r="94">
      <c r="A94" t="inlineStr">
        <is>
          <t>00시</t>
        </is>
      </c>
      <c r="B94" s="15" t="n">
        <v>2.2</v>
      </c>
      <c r="C94" s="15" t="n">
        <v>0.3</v>
      </c>
      <c r="D94" s="15" t="n">
        <v>4.6</v>
      </c>
      <c r="E94" s="15" t="n">
        <v>1.5</v>
      </c>
      <c r="F94" s="20" t="n">
        <v>8.6</v>
      </c>
      <c r="G94" s="22" t="n">
        <v>2</v>
      </c>
      <c r="H94" s="26" t="n">
        <v>16</v>
      </c>
      <c r="I94" s="26" t="n">
        <v>16</v>
      </c>
      <c r="J94" s="8" t="n">
        <v>53.6</v>
      </c>
      <c r="K94" s="27" t="inlineStr">
        <is>
          <t>여유</t>
        </is>
      </c>
    </row>
    <row r="95">
      <c r="A95" t="inlineStr">
        <is>
          <t>01시</t>
        </is>
      </c>
      <c r="B95" s="15" t="n">
        <v>1.4</v>
      </c>
      <c r="C95" s="15" t="n">
        <v>0.3</v>
      </c>
      <c r="D95" s="15" t="n">
        <v>3.5</v>
      </c>
      <c r="E95" s="15" t="n">
        <v>1.1</v>
      </c>
      <c r="F95" s="20" t="n">
        <v>6.3</v>
      </c>
      <c r="G95" s="22" t="n">
        <v>3</v>
      </c>
      <c r="H95" s="26" t="n">
        <v>24</v>
      </c>
      <c r="I95" s="26" t="n">
        <v>24</v>
      </c>
      <c r="J95" s="8" t="n">
        <v>26.1</v>
      </c>
      <c r="K95" s="27" t="inlineStr">
        <is>
          <t>여유</t>
        </is>
      </c>
    </row>
    <row r="96">
      <c r="A96" t="inlineStr">
        <is>
          <t>02시</t>
        </is>
      </c>
      <c r="B96" s="15" t="n">
        <v>0.9</v>
      </c>
      <c r="C96" s="15" t="n">
        <v>0.1</v>
      </c>
      <c r="D96" s="15" t="n">
        <v>2.5</v>
      </c>
      <c r="E96" s="15" t="n">
        <v>0.6</v>
      </c>
      <c r="F96" s="20" t="n">
        <v>4.1</v>
      </c>
      <c r="G96" s="22" t="n">
        <v>3</v>
      </c>
      <c r="H96" s="26" t="n">
        <v>24</v>
      </c>
      <c r="I96" s="26" t="n">
        <v>24</v>
      </c>
      <c r="J96" s="8" t="n">
        <v>16.9</v>
      </c>
      <c r="K96" s="27" t="inlineStr">
        <is>
          <t>여유</t>
        </is>
      </c>
    </row>
    <row r="97">
      <c r="A97" t="inlineStr">
        <is>
          <t>03시</t>
        </is>
      </c>
      <c r="B97" s="15" t="n">
        <v>0.4</v>
      </c>
      <c r="C97" s="15" t="n">
        <v>0.1</v>
      </c>
      <c r="D97" s="15" t="n">
        <v>1.4</v>
      </c>
      <c r="E97" s="15" t="n">
        <v>0.3</v>
      </c>
      <c r="F97" s="20" t="n">
        <v>2.2</v>
      </c>
      <c r="G97" s="22" t="n">
        <v>1</v>
      </c>
      <c r="H97" s="26" t="n">
        <v>8</v>
      </c>
      <c r="I97" s="26" t="n">
        <v>8</v>
      </c>
      <c r="J97" s="8" t="n">
        <v>27.6</v>
      </c>
      <c r="K97" s="27" t="inlineStr">
        <is>
          <t>여유</t>
        </is>
      </c>
    </row>
    <row r="98">
      <c r="A98" t="inlineStr">
        <is>
          <t>04시</t>
        </is>
      </c>
      <c r="B98" s="15" t="n">
        <v>0.2</v>
      </c>
      <c r="C98" s="15" t="n">
        <v>0.1</v>
      </c>
      <c r="D98" s="15" t="n">
        <v>0.7</v>
      </c>
      <c r="E98" s="15" t="n">
        <v>0.2</v>
      </c>
      <c r="F98" s="20" t="n">
        <v>1.1</v>
      </c>
      <c r="G98" s="22" t="n">
        <v>1</v>
      </c>
      <c r="H98" s="26" t="n">
        <v>8</v>
      </c>
      <c r="I98" s="26" t="n">
        <v>8</v>
      </c>
      <c r="J98" s="8" t="n">
        <v>14.2</v>
      </c>
      <c r="K98" s="27" t="inlineStr">
        <is>
          <t>여유</t>
        </is>
      </c>
    </row>
    <row r="99">
      <c r="A99" t="inlineStr">
        <is>
          <t>05시</t>
        </is>
      </c>
      <c r="B99" s="15" t="n">
        <v>0.2</v>
      </c>
      <c r="C99" s="15" t="n">
        <v>0.2</v>
      </c>
      <c r="D99" s="15" t="n">
        <v>0.4</v>
      </c>
      <c r="E99" s="15" t="n">
        <v>0.1</v>
      </c>
      <c r="F99" s="20" t="n">
        <v>0.8</v>
      </c>
      <c r="G99" s="22" t="n">
        <v>1</v>
      </c>
      <c r="H99" s="26" t="n">
        <v>8</v>
      </c>
      <c r="I99" s="26" t="n">
        <v>8</v>
      </c>
      <c r="J99" s="8" t="n">
        <v>10.6</v>
      </c>
      <c r="K99" s="27" t="inlineStr">
        <is>
          <t>여유</t>
        </is>
      </c>
    </row>
    <row r="100">
      <c r="A100" t="inlineStr">
        <is>
          <t>06시</t>
        </is>
      </c>
      <c r="B100" s="15" t="n">
        <v>0.4</v>
      </c>
      <c r="C100" s="15" t="n">
        <v>0.5</v>
      </c>
      <c r="D100" s="15" t="n">
        <v>0.2</v>
      </c>
      <c r="E100" s="15" t="n">
        <v>0.1</v>
      </c>
      <c r="F100" s="20" t="n">
        <v>1.1</v>
      </c>
      <c r="G100" s="22" t="n">
        <v>1</v>
      </c>
      <c r="H100" s="26" t="n">
        <v>8</v>
      </c>
      <c r="I100" s="26" t="n">
        <v>8</v>
      </c>
      <c r="J100" s="8" t="n">
        <v>14.1</v>
      </c>
      <c r="K100" s="27" t="inlineStr">
        <is>
          <t>여유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1" t="inlineStr">
        <is>
          <t>21시간 영업 중 심야(01~07시) 6시간이 스스로 비용을 버는가</t>
        </is>
      </c>
    </row>
    <row r="3">
      <c r="A3" s="13" t="inlineStr">
        <is>
          <t>항목</t>
        </is>
      </c>
      <c r="B3" s="13" t="inlineStr">
        <is>
          <t>1단계 오픈~3개월</t>
        </is>
      </c>
      <c r="C3" s="13" t="inlineStr">
        <is>
          <t>2단계 6개월</t>
        </is>
      </c>
      <c r="D3" s="13" t="inlineStr">
        <is>
          <t>3단계 12개월</t>
        </is>
      </c>
      <c r="E3" s="13" t="inlineStr">
        <is>
          <t>4단계 18개월~ (목표)</t>
        </is>
      </c>
    </row>
    <row r="4">
      <c r="A4" t="inlineStr">
        <is>
          <t>심야 인건비 (01~07시분)</t>
        </is>
      </c>
      <c r="B4" s="3" t="n">
        <v>2322000</v>
      </c>
      <c r="C4" s="3" t="n">
        <v>3204000</v>
      </c>
      <c r="D4" s="3" t="n">
        <v>4323600</v>
      </c>
      <c r="E4" s="3" t="n">
        <v>5443200</v>
      </c>
    </row>
    <row r="5">
      <c r="A5" t="inlineStr">
        <is>
          <t>추가 공과금 (전기·가스)</t>
        </is>
      </c>
      <c r="B5" s="3" t="n">
        <v>140000</v>
      </c>
      <c r="C5" s="3" t="n">
        <v>210000</v>
      </c>
      <c r="D5" s="3" t="n">
        <v>280000</v>
      </c>
      <c r="E5" s="3" t="n">
        <v>360000</v>
      </c>
    </row>
    <row r="6">
      <c r="A6" t="inlineStr">
        <is>
          <t>심야 영업 비용 합계</t>
        </is>
      </c>
      <c r="B6" s="3" t="n">
        <v>2462000</v>
      </c>
      <c r="C6" s="3" t="n">
        <v>3414000</v>
      </c>
      <c r="D6" s="3" t="n">
        <v>4603600</v>
      </c>
      <c r="E6" s="3" t="n">
        <v>5803200</v>
      </c>
    </row>
    <row r="7">
      <c r="A7" t="inlineStr">
        <is>
          <t>건당 공헌이익 (평균)</t>
        </is>
      </c>
      <c r="B7" s="3" t="n">
        <v>7403.7</v>
      </c>
      <c r="C7" s="3" t="n">
        <v>7403.7</v>
      </c>
      <c r="D7" s="3" t="n">
        <v>7403.6</v>
      </c>
      <c r="E7" s="3" t="n">
        <v>7403.7</v>
      </c>
    </row>
    <row r="8">
      <c r="A8" s="4" t="inlineStr">
        <is>
          <t>손익분기 심야 주문 (하루)</t>
        </is>
      </c>
      <c r="B8" s="15" t="n">
        <v>11.1</v>
      </c>
      <c r="C8" s="15" t="n">
        <v>15.4</v>
      </c>
      <c r="D8" s="15" t="n">
        <v>20.7</v>
      </c>
      <c r="E8" s="15" t="n">
        <v>26.1</v>
      </c>
    </row>
    <row r="9">
      <c r="A9" t="inlineStr">
        <is>
          <t>시뮬레이션상 심야 주문 (하루)</t>
        </is>
      </c>
      <c r="B9" s="15" t="n">
        <v>3.7</v>
      </c>
      <c r="C9" s="15" t="n">
        <v>7.3</v>
      </c>
      <c r="D9" s="15" t="n">
        <v>10.4</v>
      </c>
      <c r="E9" s="15" t="n">
        <v>15.7</v>
      </c>
    </row>
    <row r="10">
      <c r="A10" s="4" t="inlineStr">
        <is>
          <t>심야 영업 손익 (월)</t>
        </is>
      </c>
      <c r="B10" s="6" t="n">
        <v>-1650510.4</v>
      </c>
      <c r="C10" s="6" t="n">
        <v>-1791020.8</v>
      </c>
      <c r="D10" s="6" t="n">
        <v>-2285058.3</v>
      </c>
      <c r="E10" s="6" t="n">
        <v>-2325387.4</v>
      </c>
    </row>
    <row r="13">
      <c r="A13" s="4" t="inlineStr">
        <is>
          <t>읽는 법</t>
        </is>
      </c>
    </row>
    <row r="14">
      <c r="A14" t="inlineStr">
        <is>
          <t>• 손익분기 심야 주문 = 심야 비용 ÷ 건당 공헌이익. 01~07시에 하루 이만큼 이상 들어와야 심야 영업이 이익입니다.</t>
        </is>
      </c>
    </row>
    <row r="15">
      <c r="A15" t="inlineStr">
        <is>
          <t>• 시뮬레이션상 심야 주문은 같은 월매출을 21시간에 나눠 담은 값입니다. 실제로는 심야 영업이 '추가' 주문을 만들어야 의미가 있습니다.</t>
        </is>
      </c>
    </row>
    <row r="16">
      <c r="A16" t="inlineStr">
        <is>
          <t>• 5인 이상 사업장이 되면 22~06시 근무에 통상임금 50% 야간가산이 붙어 심야 비용이 커집니다.</t>
        </is>
      </c>
    </row>
    <row r="17">
      <c r="A17" t="inlineStr">
        <is>
          <t>• 오픈 후 2~4주는 심야(01~07시) 주문을 시간대별로 기록해 손익분기선과 비교하고, 못 넘으면 03시 마감 등으로 줄이세요.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2026-10-14T08:14:04Z</dcterms:created>
  <dcterms:modified xmlns:dcterms="http://purl.org/dc/terms/" xmlns:xsi="http://www.w3.org/2001/XMLSchema-instance" xsi:type="dcterms:W3CDTF">2026-10-14T08:14:05Z</dcterms:modified>
</cp:coreProperties>
</file>